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401 강막심" sheetId="1" state="visible" r:id="rId1"/>
    <sheet name="10402 심알료나" sheetId="2" state="visible" r:id="rId2"/>
    <sheet name="10403 김강민" sheetId="3" state="visible" r:id="rId3"/>
    <sheet name="10404 김영광" sheetId="4" state="visible" r:id="rId4"/>
    <sheet name="10405 김영우" sheetId="5" state="visible" r:id="rId5"/>
    <sheet name="10407 김은조" sheetId="6" state="visible" r:id="rId6"/>
    <sheet name="10408 김하준" sheetId="7" state="visible" r:id="rId7"/>
    <sheet name="10409 김효신" sheetId="8" state="visible" r:id="rId8"/>
    <sheet name="10410 마시후" sheetId="9" state="visible" r:id="rId9"/>
    <sheet name="10411 신소연" sheetId="10" state="visible" r:id="rId10"/>
    <sheet name="10412 엄시호" sheetId="11" state="visible" r:id="rId11"/>
    <sheet name="10413 유영하" sheetId="12" state="visible" r:id="rId12"/>
    <sheet name="10414 이현지" sheetId="13" state="visible" r:id="rId13"/>
    <sheet name="10415 장하윤" sheetId="14" state="visible" r:id="rId14"/>
    <sheet name="10416 조수아" sheetId="15" state="visible" r:id="rId15"/>
    <sheet name="10417 주하랑" sheetId="16" state="visible" r:id="rId16"/>
    <sheet name="10418 진영원" sheetId="17" state="visible" r:id="rId17"/>
    <sheet name="10419 최맑음" sheetId="18" state="visible" r:id="rId18"/>
    <sheet name="10420 최송이" sheetId="19" state="visible" r:id="rId19"/>
    <sheet name="10421 최준서" sheetId="20" state="visible" r:id="rId20"/>
    <sheet name="10422 최환" sheetId="21" state="visible" r:id="rId21"/>
    <sheet name="10423 황현준" sheetId="22" state="visible" r:id="rId22"/>
    <sheet name="10424 김다경" sheetId="23" state="visible" r:id="rId23"/>
    <sheet name="프로젝트 진행 확인표" sheetId="24" state="visible" r:id="rId24"/>
    <sheet name="차시 목록" sheetId="25" state="visible" r:id="rId2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sz val="14"/>
    </font>
    <font>
      <name val="맑은 고딕"/>
      <i val="1"/>
      <color rgb="00595959"/>
      <sz val="10"/>
    </font>
    <font>
      <name val="맑은 고딕"/>
      <b val="1"/>
      <color rgb="00FFFFFF"/>
      <sz val="11"/>
    </font>
    <font>
      <name val="맑은 고딕"/>
      <sz val="10"/>
    </font>
    <font>
      <name val="맑은 고딕"/>
      <b val="1"/>
      <sz val="11"/>
    </font>
    <font>
      <name val="맑은 고딕"/>
      <i val="1"/>
      <color rgb="00595959"/>
      <sz val="9"/>
    </font>
    <font>
      <name val="맑은 고딕"/>
      <b val="1"/>
      <sz val="10"/>
    </font>
  </fonts>
  <fills count="13">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E2EFDA"/>
        <bgColor rgb="00E2EFDA"/>
      </patternFill>
    </fill>
    <fill>
      <patternFill patternType="solid">
        <fgColor rgb="00F2F2F2"/>
        <bgColor rgb="00F2F2F2"/>
      </patternFill>
    </fill>
    <fill>
      <patternFill patternType="solid">
        <fgColor rgb="00F8CBAD"/>
        <bgColor rgb="00F8CBAD"/>
      </patternFill>
    </fill>
    <fill>
      <patternFill patternType="solid">
        <fgColor rgb="004472C4"/>
      </patternFill>
    </fill>
    <fill>
      <patternFill patternType="solid">
        <fgColor rgb="00FFF2CC"/>
      </patternFill>
    </fill>
    <fill>
      <patternFill patternType="solid">
        <fgColor rgb="00E2EFDA"/>
      </patternFill>
    </fill>
    <fill>
      <patternFill patternType="solid">
        <fgColor rgb="00F2F2F2"/>
      </patternFill>
    </fill>
    <fill>
      <patternFill patternType="solid">
        <fgColor rgb="00F8CBAD"/>
      </patternFill>
    </fill>
    <fill>
      <patternFill patternType="solid">
        <fgColor rgb="00D9E1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0" borderId="0" pivotButton="0" quotePrefix="0" xfId="0"/>
    <xf numFmtId="0" fontId="3"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top" wrapText="1"/>
    </xf>
    <xf numFmtId="0" fontId="2" fillId="0" borderId="0" applyAlignment="1" pivotButton="0" quotePrefix="0" xfId="0">
      <alignment vertical="top" wrapText="1"/>
    </xf>
    <xf numFmtId="0" fontId="3"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3" fillId="7" borderId="1" applyAlignment="1" pivotButton="0" quotePrefix="0" xfId="0">
      <alignment horizontal="center" vertical="center"/>
    </xf>
    <xf numFmtId="0" fontId="0" fillId="0" borderId="4" pivotButton="0" quotePrefix="0" xfId="0"/>
    <xf numFmtId="0" fontId="0" fillId="0" borderId="5" pivotButton="0" quotePrefix="0" xfId="0"/>
    <xf numFmtId="0" fontId="6" fillId="0" borderId="0" applyAlignment="1" pivotButton="0" quotePrefix="0" xfId="0">
      <alignment horizontal="left" vertical="top" wrapText="1"/>
    </xf>
    <xf numFmtId="0" fontId="7" fillId="12" borderId="1" applyAlignment="1" pivotButton="0" quotePrefix="0" xfId="0">
      <alignment horizontal="center"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8CBAD"/>
          <bgColor rgb="00F8CBAD"/>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10401 강막심)</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264"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진진가 퀴즈 답: ①→② (ISTJ 메모)
· 자기소개 문제: 우즈베키스탄에서 초등학교를 다녔다(정답 표시) / 2009년생 / 요리사를 꿈꾼 적이 있다
· 질문지: 진로를 자신 있게 말할 수 있다·가족과 대화·공부 알고 노력·상담 경험 모두 '그렇다', 꿈을 위해 노력 '매우 그렇다'
· 상담 상대: 교사, 부모·친척 / 중요 요소: 나의 소질과 적성 / 정보 탐색: 인터넷·유튜브·서적·기타(형과 대화)
· 진로 결정 어려움: 생각하는 진로가 너무 많아 선택이 어려움
· 원하는 진로활동: 강연 듣기, '외국인 전형 설명+상담' 요청
· 약속: 적극 — '적극적으로 참여하면 나아진다'고 생각
· 다짐: '열심히 하겠습니다', 다섯 글자 '그냥잘하자'</t>
        </is>
      </c>
      <c r="E5" s="5" t="inlineStr">
        <is>
          <t>외국인 전형 설명·상담을 직접 요청함(이후 최종 활동지에서 목표 대학 변경 이유로도 외국인 선발 기준을 언급). 상담 시 외국인 특별전형 안내 우선 고려.</t>
        </is>
      </c>
      <c r="F5" s="5" t="inlineStr">
        <is>
          <t>자기소개 2·3번 문제 미기재</t>
        </is>
      </c>
    </row>
    <row r="6" ht="138"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정시=수능, 수시 핵심 전형=교과·학종, 수능 최저, 내신 5등급제·1등급 상위 10%, 지필+수행, 수행평가 비중, 졸업 192학점, 희망 진로, 1학년 여름방학, 과정 평가, 세특, 수업에 적극적으로 참여, 자율·자치/동아리, 행동특성 및 종합의견, 공통 수능·통합사회/통합과학, 정시에도 생기부 반영, 역전, 주도성
· 학생부 양식에 수상경력·창체·교과학습발달상황 등 표시</t>
        </is>
      </c>
      <c r="E6" s="5" t="inlineStr">
        <is>
          <t>빈칸을 대부분 정확히 채움.</t>
        </is>
      </c>
      <c r="F6" s="5" t="inlineStr">
        <is>
          <t>8번 '활동 후 나의 다짐' 미기재</t>
        </is>
      </c>
    </row>
    <row r="7" ht="124"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 5등급 커트라인: 1등급 '28등까지'만 기재
· 목표 점수: 공통국어 100, 공통수학 90, 공통영어 100, 한국사 90, 통합사회 100, 통합과학 100
· 시험 계획표: 4/8~4/13은 X 표시, 4/14(D-7)부터 과목별 'Let's Go' 표시로 계획, 자기주도학습 시간 메모(한국사, 과학, 유의어·회독 등)</t>
        </is>
      </c>
      <c r="E7" s="5" t="inlineStr">
        <is>
          <t>목표 점수가 전 과목 90~100점으로 높게 설정됨. 계획표는 시작일만 표시한 수준으로 구체적 학습 내용은 적지 않음.</t>
        </is>
      </c>
      <c r="F7" s="5" t="inlineStr">
        <is>
          <t>2~5등급 커트라인 계산, 3번 문항(동점자 등급·세특·NEIS 공개 시점), 4번 느낀 점 미기재</t>
        </is>
      </c>
    </row>
    <row r="8" ht="194"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①창의성(장영실) ②유머(조지 버나드 쇼) ③호기심(아인슈타인)
· 핵심 강점 '창의성' 연상어: 기발, 예술, 엽기, 관심, 도전, 아이디어, 사고 등 / 강화 방안: 그림 그리기, 아이디어 메모
· MIT 희망 전공: 경영·경제, 사회·심리, 초·중등교육 → 추천 전공: 영상·공연, 국어국문학, 언론·홍보(광고·홍보·마케팅 전문가 등)
· 선호 계열: 사회계열
· 불일치 해석: '경영과 미디어 마케팅을 연결한 진로를 원해서 다르게 나온 것 같다'
· 선호 직무: 글로벌형 / 직업 가치: 경제적 풍족 &gt; 창의성 &gt; 안정성</t>
        </is>
      </c>
      <c r="E8" s="5" t="inlineStr">
        <is>
          <t>희망(경영)과 추천(미디어·홍보) 결과 차이를 스스로 '경영+미디어 마케팅'으로 연결해 해석함 — 이후 마케팅 전문가 진로로 이어짐.</t>
        </is>
      </c>
      <c r="F8" s="5" t="inlineStr"/>
    </row>
    <row r="9" ht="110"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마케팅 전문가, 경영 컨설턴트(경영지도사), 광고홍보전문가, 카피라이터 — 하는 일·필요 능력·관련 학과를 비교적 충실히 작성
· 토너먼트 최종: 마케팅 전문가 (선택 이유: '경영이 좋은 이유가 마케팅이라서')
· 미래 명함: '기업의 건설가 마케팅 전문가 강막심'</t>
        </is>
      </c>
      <c r="E9" s="5" t="inlineStr">
        <is>
          <t>4개 직업 모두 경영·광고·마케팅 분야로 관심 영역이 뚜렷함.</t>
        </is>
      </c>
      <c r="F9" s="5" t="inlineStr">
        <is>
          <t>토너먼트 일부 선택/포기 이유, 직무 유형·가치관 부합 성찰 미기재</t>
        </is>
      </c>
    </row>
    <row r="10" ht="236"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마케팅 전문가
· AI 대체: 데이터 분석·리포팅, 테스트 및 광고 최적화, 콘텐츠 대량 생산
· AI 협업: 초개인화 캠페인 기획, 크리에이티브 브레인스토밍, 시장 트렌드 예측
· 대체 불가: 문화적 맥락·뉘앙스 이해, 이해관계자 조율 및 협상, 브랜드 철학 구축·윤리적 의사결정
· 체크: '새로운 직업 역할이 생긴다는 게 흥미로웠다'
· 새로 알게 된 점: 고객 정보를 AI가 정리하고 마케터는 그에 맞는 전략을 세운다는 것이 놀라웠다
· 키울 역량: 공감 능력(문화적 맥락·뉘앙스 이해), 창의적 사고(아이디어 수집), 소통·협업(광고주와 조율 및 협상) / 준비: 독서·대화
· 업그레이드 명함: 'AI 협업 마케팅 전문가 — AI가 시장을 분석하는 동안, 나는 조율한다'</t>
        </is>
      </c>
      <c r="E10" s="5" t="inlineStr">
        <is>
          <t>완성도 높음. 역량 선택 이유를 직무와 구체적으로 연결함.</t>
        </is>
      </c>
      <c r="F10" s="5" t="inlineStr">
        <is>
          <t>3번 모둠 토론 미기재</t>
        </is>
      </c>
    </row>
    <row r="11" ht="138"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경영학과 / 관심 대학: 서울대학교
· 학과 개요: 기업을 관리하는 방법, 마케팅·인사관리·회계 등 다양한 분야를 공부
· 연결 포인트: '평소에 외국어를 빠르게 배우고 리더십이 있어 단체를 잘 이끎'
· 고교 관련 과목: 경제, 사회, 금융과 경제생활
· 졸업 후 진출: 경영 컨설턴트
· 다짐: 동아리 활동 열심히, 수학 공부 더 열심히</t>
        </is>
      </c>
      <c r="E11" s="5" t="inlineStr">
        <is>
          <t>외국어 습득력·리더십을 강점으로 인식.</t>
        </is>
      </c>
      <c r="F11" s="5" t="inlineStr">
        <is>
          <t>대학 주요 교과목, 자격증, 학과 전망 미기재</t>
        </is>
      </c>
    </row>
    <row r="12" ht="124"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교과(학교장추천) 4명·학생부교과 70%+서류종합평가 30%·최저 미적용 / 종합(Do Dream) 9명·1단계 서류 100%, 2단계 면접 40%+1단계 60%·미적용 / 논술 5명·학생부 30%(교과 20+출결 10)+논술 70%·최저 적용 / 정시 나군 9명·수능 100%
· 준비도 별점: 학생부 종합이 가장 높고(5개), 교과·논술·실기 3개 정도, 정시 2개</t>
        </is>
      </c>
      <c r="E12" s="5" t="inlineStr">
        <is>
          <t>학생부 종합 준비도를 가장 높게 자평.</t>
        </is>
      </c>
      <c r="F12" s="5" t="inlineStr">
        <is>
          <t>step2(도전 대입 전형 설계) 전체 미기재</t>
        </is>
      </c>
    </row>
    <row r="13" ht="124"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마케팅 전문가 '그대로 유지', 희망 학과 경영학과 '그대로 유지', 목표 대학·계열 고려대 상경계열 '부분 수정'
· 변경 이유: '서울대가 외국인을 뽑는 기준에 다소 부합하지 않음'
· 최종 진로 목표: 상경계열 / 마케팅 전문가 / 경영학과 / 고려대(1순위)</t>
        </is>
      </c>
      <c r="E13" s="5" t="inlineStr">
        <is>
          <t>1-5 → 1-6 → 1-7 → 최종까지 '마케팅 전문가·경영학과'로 진로가 일관됨. 목표 대학을 서울대(1-7)에서 고려대로 조정 — 외국인 전형 기준을 스스로 확인한 것으로 보임.</t>
        </is>
      </c>
      <c r="F13" s="5" t="inlineStr">
        <is>
          <t>3번 과목 선택 설계, 4번 대입 전형 연계, 5번 2학기 다짐 미기재</t>
        </is>
      </c>
    </row>
    <row r="14" ht="124"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2025학년도 소비자학
· 개인 평가: 학업 B&gt;C&gt;A, 진로 A&gt;B&gt;C(수정 흔적), 공동체 A&gt;C&gt;B
· 이유: 공동체 역량에만 짧은 메모(A·B·C 각각 한두 단어) 작성
· 조별 예상 순위 A&gt;B&gt;C → 실제 결과 B&gt;A&gt;C
· 느낀 점: '학교생활은 A처럼, 탐구는 B처럼'</t>
        </is>
      </c>
      <c r="E14" s="5" t="inlineStr">
        <is>
          <t>예상과 실제 결과의 1·2순위가 바뀜. 근거 서술이 짧아 작성 가이드(구체적 근거 제시)가 충분히 반영되지 않음.</t>
        </is>
      </c>
      <c r="F14" s="5" t="inlineStr">
        <is>
          <t>학업·진로 역량 이유 미기재, 공동체 이유 메모 일부 판독 어려움, 배운 점 미기재</t>
        </is>
      </c>
    </row>
    <row r="15" ht="220"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
· 선택 이유: 평소 경영 관련 직업에 관심이 많아 미래 경영에 대해 조사·발표하고 싶어서
· 관심 분야 3가지: 경영, AI, 윤리
· 그렇게 생각한 이유: 국어 시간 소설 「저건 사람도 아니다」에서 AI에게 대체되는 인류의 삶을 보고 미래 시대의 윤리 경영이 궁금해짐
· 잠정 탐구 주제: AI와 미래 시대의 경영 윤리 예측
· 주제 선택 이유: 소설에 더해 뉴스에서 세무사·회계사 등 직업이 상당수 대체되는 것을 보고 '당장 시급한 문제'라고 인식
· 8차시 계획: 2 탐구 방법·계획서 → 3 자료수집·스크랩 → 4 심화탐구(설문조사) → 5 자료분석 → 6 PPT 제작 → 7 모둠 발표</t>
        </is>
      </c>
      <c r="E15" s="5" t="inlineStr">
        <is>
          <t>1학기 내내 이어진 '경영·마케팅' 진로가 프로젝트 주제로 자연스럽게 연결됨. 국어 수업(소설)과 뉴스를 탐구 동기로 엮은 점이 좋음.</t>
        </is>
      </c>
      <c r="F15" s="5" t="inlineStr">
        <is>
          <t>탐구 유형(진로연계/관심사) 체크, 예상 산출물, 한 줄 다짐, 자가 점검 미기재</t>
        </is>
      </c>
    </row>
    <row r="16" ht="136"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AI로 인해 많은 일자리가 대체되는 미래의 경영 윤리는 어떻게 될까?
· 하위 질문 ①: 현재 AI로 대체되는 일자리의 종류(예)는 무엇이 있고 얼마나 대체되고 있을까?
· 하위 질문 ②: 기업이 많은 일자리를 AI로 대체하고 있는 이유는 무엇일까?
· 하위 질문 ③: AI가 기업의 모든 일자리를 대체하면 그 기업은 기업으로서 가치가 있을까? (테세우스의 배 딜레마)</t>
        </is>
      </c>
      <c r="E16" s="5" t="inlineStr">
        <is>
          <t>1차시 주제를 그대로 구체화함. 하위 질문 ③에 '테세우스의 배' 철학 개념을 끌어온 점이 독창적.</t>
        </is>
      </c>
      <c r="F16" s="5" t="inlineStr">
        <is>
          <t>활용할 자료원 미기재</t>
        </is>
      </c>
    </row>
    <row r="17" ht="360"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4개 + 메모
· ① 국제노동기구(ILO) 「2025 생성형 AI와 일자리: 직업별 생성형 AI 노출도에 대한 글로벌 분석」: 생성형 AI는 사무·행정직을 비롯해 금융·IT 등 여러 분야 업무를 자동화할 가능성이 있지만, 직업 자체를 대체하기보다는 업무 분담을 통해 직업의 형태를 변화시킬 가능성이 큼
· ② OECD 「2024 기업의 인공지능 도입」: 기업이 AI를 도입하는 주요 이유는 생산성을 높이고 비용을 절감하며 반복 업무를 자동화하고 인력 부족에 대응하기 위해서임. 업무 오류를 줄이고 경쟁력을 높일 수 있어 적극적으로 도입 중
· ③ OECD·한국노동연구원 「2025 인공지능과 한국의 노동시장」: 한국 기업 중 71%에서 AI가 직원 업무의 약 10%를 대체. 현재 AI는 일부 업무 자동화와 인간 업무 보조가 중심
· ④ 데이비드 로즈 「테세우스의 배 퍼즐」(2020, 옥스퍼드 실천철학 연구 제3권 수록): 오래된 배의 부품을 모두 바꿔도 원래와 같은 배인가? → 구성 요소가 모두 바뀌어도 정체성이 유지되는가라는 의문
· 메모: '하위 질문 ①의 방향성을 대체가 아닌 변화로?' / '④를 배 대신 기업으로'</t>
        </is>
      </c>
      <c r="E17" s="5" t="inlineStr">
        <is>
          <t>국제기구·연구기관 보고서를 정확한 제목으로 적었고, 자료를 읽으며 '대체보다 변화'라는 결론에 맞춰 스스로 탐구 방향을 수정하려는 메모를 남김. 2차시에 세운 테세우스의 배 질문을 철학 원전으로 뒷받침함.</t>
        </is>
      </c>
      <c r="F17" s="5" t="inlineStr">
        <is>
          <t>자료 ⑤ 미기재</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10402 심알료나)</t>
        </is>
      </c>
    </row>
    <row r="2">
      <c r="A2" s="2" t="inlineStr">
        <is>
          <t>※ 활동지 스캔본(PDF)을 바탕으로 정리. 필체 판독이 어렵거나 학생이 미기재한 항목은 '판독 어려움/미기재'로 표기함. 이번 스캔본에 포함되지 않은 차시: 1-3, 2-2.</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80"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질문지: 진로를 자신 있게 말할 수 있다·꿈을 위해 노력 '보통', 가족과 꿈 이야기 '그렇지 않다', 공부 알고 노력·상담 경험 '그렇다'
· 상담 상대: 학원 강사, 기타 / 중요 요소: 기타(내용 미기재) / 정보 탐색: 인터넷 검색
· 노력: 틈틈이 진로 정보 수집 / 어려움: 나의 특성(흥미·적성·가치관·성격)에 대해 몰라서
· 약속: 존중, 연결
· 깨달은 점: '나의 진로에 대해 진지하게 고민해 볼 기회가 생겨서 좋았다'
· 다섯 글자 칸: 행복한 미래 / 포기하지 마 / 나를 찾아서 / 열심히 하자 / 할 수 있다</t>
        </is>
      </c>
      <c r="E5" s="5" t="inlineStr">
        <is>
          <t>가족과 진로 대화가 적다고 응답. 자신의 특성을 잘 모르는 것을 진로 결정의 어려움으로 꼽음.</t>
        </is>
      </c>
      <c r="F5" s="5" t="inlineStr">
        <is>
          <t>진진가 퀴즈·자기소개 문제, 약속 별표 이유, 원하는 진로활동 미기재</t>
        </is>
      </c>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수능, 교과·종합, 최저, 5등급제·상위 10%, 지필+수행, 수행평가, 192학점, 희망 진로, 1학년 여름방학, 과정, 세부능력 및 특기사항, 수업에 적극적으로 참여, 자율/동아리, 행동특성 및 종합의견, 공통, 통합사회/통합과학, 내신, 역전, 주도성</t>
        </is>
      </c>
      <c r="E6" s="5" t="inlineStr">
        <is>
          <t>빈칸을 대부분 정확히 채움.</t>
        </is>
      </c>
      <c r="F6" s="5" t="inlineStr">
        <is>
          <t>앞면 학번·이름 미기재, 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이번 스캔본에 해당 차시 활동지가 포함되어 있지 않음</t>
        </is>
      </c>
      <c r="E7" s="5" t="inlineStr"/>
      <c r="F7" s="5" t="inlineStr">
        <is>
          <t>1-3 활동지 없음(원본 확인 필요)</t>
        </is>
      </c>
    </row>
    <row r="8" ht="152"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①호기심(아인슈타인) ②예술적 감수성(레오나르도 다빈치) ③원만성(넬슨 만델라)
· 핵심 강점 '예술적 감수성' 연상어: 다빈치, 아름다움, 발견, 미술, 풍요로움, 반 고흐, 글, 그림
· MIT 희망 전공과 추천 전공 모두 일치: 외국어문학(통역가·번역가·외국어강사), 미술·디자인(제품디자이너·웹디자이너), 사회·심리(출판물기획자·소설가)
· 선호 계열: 인문계열</t>
        </is>
      </c>
      <c r="E8" s="5" t="inlineStr">
        <is>
          <t>희망 전공과 검사 추천 전공이 3개 모두 일치 — 자기 인식이 검사 결과와 잘 맞음.</t>
        </is>
      </c>
      <c r="F8" s="5" t="inlineStr">
        <is>
          <t>강점 강화 방안, 일치 여부 성찰, 선호 직무 유형·직업 가치 미기재</t>
        </is>
      </c>
    </row>
    <row r="9" ht="68"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통역사, 웹툰작가, 변호사, 범죄심리분석관(직업명만 기재)</t>
        </is>
      </c>
      <c r="E9" s="5" t="inlineStr">
        <is>
          <t>관심 직업이 언어·예술·법·심리로 넓게 분포 — 이후 1-6·1-7에서 통번역으로 수렴.</t>
        </is>
      </c>
      <c r="F9" s="5" t="inlineStr">
        <is>
          <t>하는 일·필요 능력·관련 학과, 토너먼트, 명함 미기재</t>
        </is>
      </c>
    </row>
    <row r="10" ht="194"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통역·번역 분야
· AI 대체: 텍스트의 기본 번역, 정기적인 용어 검색 및 용어집 관리, 표준화된 콘텐츠 번역
· AI 협업: 초안 편집, 문화적 맥락에 대한 적용, 복잡한 형식 작업
· 대체 불가: 동시통역과 외교, 고도의 예술적 문학 번역, 법적·윤리적 책임
· 체크: '새로운 직업 역할이 흥미로웠다', '내 생각이 AI 답과 거의 같았다'
· 키울 역량: 의사소통 및 협업 능력, 감성 지능, AI 활용 능력
· 준비: '의사소통 능력을 개발하고, 자신의 업무를 인공지능과 결합하는 능력을 키우세요'</t>
        </is>
      </c>
      <c r="E10" s="5" t="inlineStr">
        <is>
          <t>'준비 1가지'가 AI 답변 문체(~하세요)를 그대로 옮긴 것으로 보여 본인의 실천 계획으로 다시 써보도록 지도 가능.</t>
        </is>
      </c>
      <c r="F10" s="5" t="inlineStr">
        <is>
          <t>놀란 점 한 줄, 역량 필요 이유, 명함 업그레이드, 모둠 토론 미기재</t>
        </is>
      </c>
    </row>
    <row r="11" ht="264"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영어학과/통번역학과 / 관심 대학: 한국외국어대학교
· 학과 개요: 실용적인 영어 구사 능력을 바탕으로 영미권 언어·문화·문학을 깊이 이해하고 국제무대에서 활약할 글로벌 소통 전문가 양성
· 연결 포인트: 외국어로 소통하는 것을 좋아하고 영미권 영화·팝송 등 문화에 관심이 많음 → 언어·문화 실습 교육과 연결
· 고교 관련 과목: 공통 국어·영어·사회 / 대학 주요 교과목: 동시통역실습, 영문학개론, 영어학개론, 시사영어
· 자격증: 관광통역안내사, 번역능력인정시험, 공인어학성적 / 진출: 국제회의 통역사, 무역회사·대기업, 번역가·출판사
· 학과 전망·다짐: 러시아어로 작성(요지: AI가 발전해도 섬세한 감정과 문화적 맥락을 전하는 전문 번역 수요는 남는다 / 언어와 그 문화를 열심히 공부하겠다)</t>
        </is>
      </c>
      <c r="E11" s="5" t="inlineStr">
        <is>
          <t>완성도 높음. 전망과 다짐을 러시아어로 작성 — 다중 언어 능력이 통번역 진로와 직접 연결되는 강점. 한국어 서술 지원이 필요한지는 확인해 볼 만함.</t>
        </is>
      </c>
      <c r="F11" s="5" t="inlineStr">
        <is>
          <t>러시아어 부분은 요지 번역(원문 확인 권장)</t>
        </is>
      </c>
    </row>
    <row r="12" ht="54"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학번·이름만 기재, 사전 연습·준비도 별점·step2 모두 미기재</t>
        </is>
      </c>
      <c r="E12" s="5" t="inlineStr">
        <is>
          <t>활동 내용 전체 미작성 — 보충 지도 필요.</t>
        </is>
      </c>
      <c r="F12" s="5" t="inlineStr">
        <is>
          <t>전체 미기재</t>
        </is>
      </c>
    </row>
    <row r="13" ht="82"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학번·이름만 기재, 돌아보기·최종 진로 목표·과목 설계·대입 전형·다짐 모두 미기재</t>
        </is>
      </c>
      <c r="E13" s="5" t="inlineStr">
        <is>
          <t>1학기 마무리 활동 미작성. 1-7까지의 통번역 진로를 바탕으로 과목 선택 설계를 개별 확인할 필요가 있음.</t>
        </is>
      </c>
      <c r="F13" s="5" t="inlineStr">
        <is>
          <t>전체 미기재</t>
        </is>
      </c>
    </row>
    <row r="14" ht="110"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이번 3차시(2-2) 반 스캔본에 10402 활동지가 포함되어 있지 않음</t>
        </is>
      </c>
      <c r="E14" s="5" t="inlineStr"/>
      <c r="F14" s="5" t="inlineStr">
        <is>
          <t>결석 또는 미제출 여부 확인 필요</t>
        </is>
      </c>
    </row>
    <row r="15" ht="164"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주제탐구(진로연계형)
· 선택 이유(러시아어로 작성, 요지): 번역가라는 직업에 관심이 있어 더 깊이 알고 싶음. 번역은 단어를 1:1로 옮기는 것이 아니라 고객에게 정보를 이해하기 쉬운 형태로 전달하는 일이라고 생각함
· 관심 분야 3가지: 심리학, 번역작업, 의사소통
· 그렇게 생각한 이유(러시아어, 요지): 예전엔 번역가는 언어만 알면 된다고 생각했지만, 다른 나라에 살면서 사람들 사이에는 문화뿐 아니라 사고방식의 차이도 있다는 것을 알게 됨. 직역이 항상 올바른 이해를 보장하지는 않음</t>
        </is>
      </c>
      <c r="E15" s="5" t="inlineStr">
        <is>
          <t>선택 이유와 관심 이유를 러시아어로 작성(요지 번역해 정리함). 직접 해외에서 생활한 경험을 근거로 '문화·사고방식 차이'라는 문제의식을 스스로 도출한 점이 인상적. 모국어 작성은 한국어 서술 부담 때문일 수 있어 필요시 지원 고려.</t>
        </is>
      </c>
      <c r="F15" s="5" t="inlineStr">
        <is>
          <t>잠정 탐구 주제·주제 선택 이유, 8차시 계획, 한 줄 다짐, 자가 점검 미기재</t>
        </is>
      </c>
    </row>
    <row r="16" ht="150"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문화권별 사고방식의 차이는 무엇이며, 번역가는 이를 어떻게 극복하여 소통을 돕는가?
· 하위 질문 ①: 동양과 서양(또는 언어권별) 사고방식의 대표적인 차이점은 무엇인가?
· 하위 질문 ②: 사고방식의 차이가 언어 표현 및 문화적 맥락에 어떻게 반영되는가?
· 하위 질문 ③: 번역가는 단순한 직역을 넘어 문화적·사고적 차이를 전달하기 위해 어떤 전략을 사용하는가?
· 활용할 자료원: 인터넷 뉴스 기사 및 전문 블로그, 유튜브 번역가 인터뷰 영상 등</t>
        </is>
      </c>
      <c r="E16" s="5" t="inlineStr">
        <is>
          <t>1차시에 비어 있던 탐구 주제를 2차시에 한국어로 짜임새 있게 완성함. 1차시에 밝힌 문제의식(직역의 한계)이 하위 질문 ③으로 정확히 이어짐.</t>
        </is>
      </c>
      <c r="F16" s="5" t="inlineStr">
        <is>
          <t>자료원 일부 표현 판독 어려움</t>
        </is>
      </c>
    </row>
    <row r="17" ht="231"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3개
· ① '동양적 사고방식과 서양적 사고방식의 특징'(매체명 미기재): 멘탈리티가 무엇이고 무엇을 포괄하는지, 사회적·문화적 요인의 영향으로 어떻게 변화하는지 설명
· ② 사피어-워프 가설에 관한 4brain 블로그 게시물: 언어적 차이가 사람들의 인지와 행동 구조에 미치는 영향을 다룸
· ③ '언어와 문화 간 의사소통'(매체명 미기재): 문화는 우리의 사고방식을 결정하며, 언어는 여러 핵심 차원에서 이 과정을 잘 보여 주는 중요한 반영물임</t>
        </is>
      </c>
      <c r="E17" s="5" t="inlineStr">
        <is>
          <t>2차시 탐구 질문(문화권별 사고방식 차이와 번역가의 역할)에 맞는 자료를 골랐고, 이번엔 한국어로 모두 작성함. 다만 ①·③은 매체명·저자가 없어 출처가 불분명하고, 하위 질문 ③(번역가의 전략)에 해당하는 자료는 아직 없음.</t>
        </is>
      </c>
      <c r="F17" s="5" t="inlineStr">
        <is>
          <t>자료 ④·⑤, 나의 생각/메모 미기재 / 자료 ①·③ 매체명 미기재</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10403 김강민)</t>
        </is>
      </c>
    </row>
    <row r="2">
      <c r="A2" s="2" t="inlineStr">
        <is>
          <t>※ 활동지 스캔본(PDF)을 바탕으로 정리. 필체 판독이 어렵거나 학생이 미기재한 항목은 '판독 어려움/미기재'로 표기함. 이번 스캔본에 포함되지 않은 차시: 1-3.</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208"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진진가 퀴즈 답: 2번
· 자기소개 문제: 게임 랭크 관련, 중2 때 기말고사 평균이 100이었다, 수상 경험 관련(일부 판독 어려움)
· 질문지: 진로를 말할 수 있다·가족과 대화·공부 알고 노력 '그렇다', 꿈을 위해 노력 '보통', 상담 경험 '그렇지 않다'
· 상담 상대: 없음(기타에 X) / 중요 요소: 학업 성적 / 정보 탐색: 인터넷 검색 / 노력: 틈틈이 정보 수집
· 원하는 진로활동: '특정 직업을 갖기 위한 선택과목'
· 약속: 연결 — '나의 미래를 알기 위해 하는 수업이니까'</t>
        </is>
      </c>
      <c r="E5" s="5" t="inlineStr">
        <is>
          <t>진로 상담 경험이 없다고 응답 — 개별 상담 기회 제공 권장. 선택과목 안내에 대한 요구가 뚜렷함.</t>
        </is>
      </c>
      <c r="F5" s="5" t="inlineStr">
        <is>
          <t>깨달은 점, 다섯 글자 다짐 미기재 / 자기소개 3번 일부 판독 어려움</t>
        </is>
      </c>
    </row>
    <row r="6" ht="82"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수능, 교과·종합, 최저, 5등급제·상위 10%, 지필+수행, 수행평가, 192학점, 희망 진로, 여름방학, 과정, 교과(세특), 적극적 참여, 자율·자치/동아리, 행동특성 및 종합의견, 공통, 통합사회/통합과학, 내신, 역전, 주도성</t>
        </is>
      </c>
      <c r="E6" s="5" t="inlineStr">
        <is>
          <t>빈칸을 대부분 정확히 채움.</t>
        </is>
      </c>
      <c r="F6" s="5" t="inlineStr">
        <is>
          <t>앞면 학번·이름 미기재, 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이번 스캔본에 해당 차시 활동지가 포함되어 있지 않음</t>
        </is>
      </c>
      <c r="E7" s="5" t="inlineStr"/>
      <c r="F7" s="5" t="inlineStr">
        <is>
          <t>1-3 활동지 없음(원본 확인 필요)</t>
        </is>
      </c>
    </row>
    <row r="8" ht="152"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①계획성(벤자민 프랭클린) ②도덕성(임마누엘 칸트) ③용감성(안중근)
· 핵심 강점 '용감성' 연상어: 의사소통, 독립, 도전, 정확, 어려움, 신념, 공정 등 / 강화 방안: 발표하기, 회장 등(일부 판독 어려움)
· MIT 희망 전공=추천 전공: 의료, 약학, 간호·보건(의사·약사·간호사 등)
· 선호 계열: 의약
· 선호 직무: 돌봄형 / 직업 가치: 경제적 풍족 &gt; 사회적 인정 &gt; 사회봉사</t>
        </is>
      </c>
      <c r="E8" s="5" t="inlineStr">
        <is>
          <t>희망과 추천 전공이 모두 의약 계열로 일치.</t>
        </is>
      </c>
      <c r="F8" s="5" t="inlineStr">
        <is>
          <t>일치 여부 성찰 미기재</t>
        </is>
      </c>
    </row>
    <row r="9" ht="124"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물리학자, 수의사, 약사, 의사 — 하는 일·필요 능력·관련 학과를 충실히 작성
· 토너먼트 최종: 의사 (선택 이유: '꿈')
· 의사 선택 이유: '어렸을 때 많이 아팠어서 5살 때부터 이어진 꿈' / 수의사 선택 이유: 동물을 좋아해서 / 수의사 포기 이유: 이미 꿈을 확실히 정해서</t>
        </is>
      </c>
      <c r="E9" s="5" t="inlineStr">
        <is>
          <t>의사라는 꿈이 유년기 경험에서 시작해 오래 유지되어 온 것으로 서술 — 진로 동기가 분명함.</t>
        </is>
      </c>
      <c r="F9" s="5" t="inlineStr">
        <is>
          <t>명함 만들기, 직무 유형·가치관 부합 성찰 미기재</t>
        </is>
      </c>
    </row>
    <row r="10" ht="250"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의사
· AI 대체: 영상의학 기반 1차 질병 판독, 표준화된 문진 및 차트 작성, 만성질환 모니터링
· AI 협업: 환자 맞춤형 치료법·처방 설계, 수술 경로 및 안전성 향상, 희귀·복합 질환 진단 지원
· 대체 불가: 환자의 마음 치유, 복잡하고 모호한 상황에서의 윤리적 결단, 응급·수술 현장에서의 임기응변
· 체크: 'AI가 예상보다 더 많이 대체할 수 있었다'
· 새로 알게 된 점: 자료가 있거나 정보를 제공하는 일은 대체가 되는 것 같다
· 키울 역량: 지식을 연결하고 질문하는 힘(AI에게 프롬프트를 잘 넣기 위해), 마음을 움직이는 기술(이해와 공감으로 마음을 열기), 임기응변 능력
· 모둠원 직업: 동물조련사, 의사, 간호사, 간호사</t>
        </is>
      </c>
      <c r="E10" s="5" t="inlineStr">
        <is>
          <t>역량 선택 이유가 구체적이고 AI 활용 관점이 드러남.</t>
        </is>
      </c>
      <c r="F10" s="5" t="inlineStr">
        <is>
          <t>학번·이름 미기재, 준비 1가지·명함 업그레이드·모둠 결론 미기재</t>
        </is>
      </c>
    </row>
    <row r="11" ht="208"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의예과 / 관심 대학: 경희대
· 학과 개요: 인체의 구조와 기능, 질병·상해의 치료와 예방에 관한 방법과 기술을 연구하며 생명과학과 의학의 기초를 학습
· 연결 포인트: 생명을 존중함 → 건전한 윤리관
· 고교 관련 과목: 대수, 미적분Ⅰ·Ⅱ, 확률과 통계, 화학, 생명과학, 세포와 물질대사, 물질과 에너지, 생물의 유전
· 대학 주요 교과목: 생명과 윤리, 의학물리학, 일반생물, 의사학
· 자격증: 의사면허, 전문의 면허 / 진출: 종합병원, 대학병원
· 다짐: 공부, 생기부 관리, '2학년 때는 과학 실험 동아리에 들어가야겠다'</t>
        </is>
      </c>
      <c r="E11" s="5" t="inlineStr">
        <is>
          <t>관련 과목을 2022 개정 교육과정 과목명으로 구체적으로 제시 — 과목 선택 준비도가 높음.</t>
        </is>
      </c>
      <c r="F11" s="5" t="inlineStr">
        <is>
          <t>학과 전망(취업률) 미기재</t>
        </is>
      </c>
    </row>
    <row r="12" ht="110"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전형 학생부교과+서류종합평가, 종합 서류 100% / 면접 40%+성적 60%, 논술 학생부 30%+논술 70%, 정시 9명 기재(반영 비율 '수능 60%·실기 40%'로 적어 확인 필요)
· 준비도 별점: 교과·종합·논술·실기 4개 정도, 정시 3개 정도</t>
        </is>
      </c>
      <c r="E12" s="5" t="inlineStr">
        <is>
          <t>정시 반영 비율 기재가 자료와 다를 수 있어 확인 필요.</t>
        </is>
      </c>
      <c r="F12" s="5" t="inlineStr">
        <is>
          <t>step2(도전 대입 전형 설계) 전체 미기재</t>
        </is>
      </c>
    </row>
    <row r="13" ht="110"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의사 유지, 희망 학과 의예과 유지, 목표 대학 고려대 '완전히 바뀜'
· 변경 이유: '고려대가 외국인 전형이 잘 되어 있음'
· 최종 진로 목표: 희망 직업 의사, 희망 학과 의예과, 목표 대학 고려대
· 정시 관심 전형: 수능</t>
        </is>
      </c>
      <c r="E13" s="5" t="inlineStr">
        <is>
          <t>1-4 → 1-5 → 1-7 → 최종까지 '의사·의예과'로 진로가 매우 일관됨. 외국인 전형을 대학 선택 기준으로 언급 — 관련 전형 안내가 필요할 수 있음.</t>
        </is>
      </c>
      <c r="F13" s="5" t="inlineStr">
        <is>
          <t>앞면 학번·이름 미기재, 희망 계열 판독 어려움(지운 흔적), 과목 선택 설계·2학기 집중 과제·다짐 미기재</t>
        </is>
      </c>
    </row>
    <row r="14" ht="180"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2024학년도 교육학과
· 개인 평가: 학업 A&gt;C&gt;B, 진로 A&gt;B&gt;C, 공동체 A&gt;B&gt;C
· 이유: 학업—사회를 잘하고 대체적인 성취 수준이 골고루 좋다 / 진로—생기부에 교육 관련 내용이 많이 들어 있다 / 공동체—교내 활동에 얼마나 진심이고 친구들과 잘 어우러지는지
· 조별 예상 A&gt;C&gt;B → 실제 결과 A&gt;B&gt;C
· 느낀 점: '재밌다. 나라면 누구를 뽑을까? 생각해 볼 수 있어 좋았다'
· 배운 점: '어떤 게 좋은 생기부인지 알게 되었다'</t>
        </is>
      </c>
      <c r="E14" s="5" t="inlineStr">
        <is>
          <t>세 역량 모두 이유를 작성해 성실히 참여. 1순위 예측 적중.</t>
        </is>
      </c>
      <c r="F14" s="5" t="inlineStr"/>
    </row>
    <row r="15" ht="206"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습관형성 (이름란에 'with 최환' 기재)
· 선택 이유: 너무 인생을 불규칙적으로 살아서 앞으로 규칙적이고 성숙한 사람이 되기 위해
· 닮고 싶은 사람과 습관: 문성준 선생님 - 매일 꾸준히 운동하심
· 습관이 진로에 중요한 이유: 하루하루 간단한 좋은 습관 하나하나가 나중에 소중한 습관이 되고 큰 변화를 만들어 줌
· 개선하고 싶은 습관: 불규칙적인 스마트폰 사용, 운동하지 않는 것
· 8차시 계획: 2 자기의 단점 확인 → 3 운동 계획 짜기 → 4~7 실천
· 한 줄 다짐: '나는 할 수 있다!'</t>
        </is>
      </c>
      <c r="E15" s="5" t="inlineStr">
        <is>
          <t>10422 최환과 짝 활동으로 선택 이유·중요 이유·개선 습관·계획이 거의 같음. 주변 교사를 롤모델로 삼은 점이 눈에 띔.</t>
        </is>
      </c>
      <c r="F15" s="5" t="inlineStr">
        <is>
          <t>자가 점검 3개 중 2개만 체크</t>
        </is>
      </c>
    </row>
    <row r="16" ht="192" customHeight="1">
      <c r="A16" s="4" t="inlineStr">
        <is>
          <t>p-2</t>
        </is>
      </c>
      <c r="B16" s="5" t="inlineStr">
        <is>
          <t>개별 진로 프로젝트 2차시(습관형성): 원인분석·목표설정 - 나를 돌아보고, 목표 세우기</t>
        </is>
      </c>
      <c r="C16" s="5" t="inlineStr">
        <is>
          <t>최근 목표·계획 돌아보기 → 목표 달성·계획 실행 정도 자기평가 → 어려움(장애물)과 개선방안 → SMART 기법으로 습관 목표 구체화 → 실천 확인(인증) 방법 → 모둠 의견 후 최종 습관 목표</t>
        </is>
      </c>
      <c r="D16" s="5" t="inlineStr">
        <is>
          <t>· 최근 목표: 6시 반까지 일어나기 (계획 미기재)
· 자기평가: 목표 달성 '만족' / 이유: 머리가 맑아서 하루의 스타트가 좋다
· 어려움 → 개선방안: 알람을 설정해도 잘 못 일어남 → 핸드폰을 멀리 두고 자겠다
· SMART 목표 - 운동 습관 만들기
  S: 밤에 간단하게 운동 5종류를 20개씩 하기 / M: 메모장에 하루하루 기록 / A: 지금은 20개지만 나중에 숫자를 늘린다 / R: 운동을 꾸준히 해서 공부 체력을 늘린다 / T: 1학년 남은 기간 해보고 좋으면 2학년에도 도전
· 확인 방법: 습관 기록 앱·캘린더 캡처
· 최종 습관 목표: 5개 운동 종류 20개씩 매일</t>
        </is>
      </c>
      <c r="E16" s="5" t="inlineStr">
        <is>
          <t>SMART 5요소를 모두 채워 실천 가능한 수준으로 구체화함. 1차시의 '운동하지 않는 습관' 개선과 연결됨. 짝(최환)과 SMART 목표·최종 목표 동일.</t>
        </is>
      </c>
      <c r="F16" s="5" t="inlineStr">
        <is>
          <t>계획 실행 정도 자기평가, 어려움 2번 미기재</t>
        </is>
      </c>
    </row>
    <row r="17" ht="349" customHeight="1">
      <c r="A17" s="4" t="inlineStr">
        <is>
          <t>p-3</t>
        </is>
      </c>
      <c r="B17" s="5" t="inlineStr">
        <is>
          <t>개별 진로 프로젝트 3차시(습관형성): 습관 실천 — 1주차 습관 기록표</t>
        </is>
      </c>
      <c r="C17" s="5" t="inlineStr">
        <is>
          <t>이번 주 목표와 확인(인증) 방법 정하기, 요일별 실천 내용·실천/인증 체크·오늘의 한 줄(동료 응원) 기록, 실천 일수와 한 주 소감 작성</t>
        </is>
      </c>
      <c r="D17" s="5" t="inlineStr">
        <is>
          <t>[습관형성] 1주차 습관 기록표 (짝 최환과 같은 목표)
· 이번 주 목표: 간단한 운동 5종류 20개씩 / 확인(인증) 방법: 메모장 기록
· 화: 플로어 프레스 20개, 스쿼트 20개, 플랭크 1분, 런지 좌우 20개, 유산소 1분 → 수·목·금·토·일: 같은 루틴 반복(목 '런지 귀찮아서 안 함', 토 '유산소 안 함')
· 월만 비어 있고 화~일 실천 ○·인증 ✓
· 오늘의 한 줄: 짝 최환이 매일 '화이팅', '힘내', '같이 운동하자' 등 응원을 적어 줌
· 이번 주 실천 일수: 6일 / 7일
· 느낀 점: '살 빠져서 기분이 좋고 공부할 때 머리가 굉장히 맑다'</t>
        </is>
      </c>
      <c r="E17" s="5" t="inlineStr">
        <is>
          <t>2차시에 세운 목표를 그대로 6일 실천함. 빠뜨린 운동까지 솔직하게 적었고, 짝과 서로 응원하는 구조가 잘 작동함. 운동 효과를 공부 집중과 연결해 느낀 점이 좋음.</t>
        </is>
      </c>
      <c r="F17" s="5" t="inlineStr">
        <is>
          <t>월요일 기록 없음</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10404 김영광)</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94"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진진가 퀴즈 답: 2번 / 선생님께 인사: '안녕하세요'
· 자기소개 문제: 하와이 관련, 반려동물을 키운다, 오른손잡이이다
· 질문지: 진로를 말할 수 있다 '그렇다', 노력·가족과 대화 '보통', 상담 경험 '그렇지 않다'
· 중요 요소: 기타(재미) / 정보 탐색: 인터넷 / 노력: 틈틈이 정보 수집
· 원하는 진로활동: 'AI가 대체할 직업 전망이 궁금하다'
· 약속: 적극 — '진로 시간이니 적극적으로 참여하지 않으면 의도대로 못하니까'
· 다섯 글자: '발표잘하자'</t>
        </is>
      </c>
      <c r="E5" s="5" t="inlineStr">
        <is>
          <t>진로 상담 경험이 적다고 응답. AI와 직업 변화에 대한 관심을 표현(1-6 활동과 연결됨).</t>
        </is>
      </c>
      <c r="F5" s="5" t="inlineStr">
        <is>
          <t>깨달은 점 'X'로 표시, 상담 상대·어려운 점 미기재, 일부 체크 판독 어려움</t>
        </is>
      </c>
    </row>
    <row r="6" ht="82"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수능, 교과·종합, 최저, 5등급제·상위 10%, 수행+지필, 수행평가, 192학점, 희망 진로, 1학년 여름방학, 과정, 세부능력 및 특기사항, 수업 적극 참여, 자율/동아리, 행동특성 및 종합의견, 공통, 통합사회/통합과학, 역전, 주도성</t>
        </is>
      </c>
      <c r="E6" s="5" t="inlineStr">
        <is>
          <t>빈칸을 대부분 정확히 채움.</t>
        </is>
      </c>
      <c r="F6" s="5" t="inlineStr">
        <is>
          <t>6번 마지막 문항(정시 반영 요소) 미기재, 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 및 내용 전체 미기재(빈 활동지)</t>
        </is>
      </c>
      <c r="E7" s="5" t="inlineStr">
        <is>
          <t>활동지를 작성하지 않음.</t>
        </is>
      </c>
      <c r="F7" s="5" t="inlineStr">
        <is>
          <t>전체 미기재</t>
        </is>
      </c>
    </row>
    <row r="8" ht="222"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①원만성(넬슨 만델라) ②개방성(파블로 피카소) ③도덕성(임마누엘 칸트)
· 핵심 강점 '끈기' 연상어: 인내심, 지속성, 꾸준함, 노력, 참을성, 동기부여, 정신력 등
· 강화 방안: '하루하루를 기록해서 성장을 볼 수 있게 한다'
· MIT 희망 전공: 건축·토목, 공예(인테리어), 약학 → 추천: 건축·토목, 공예(인테리어), 무용·체육(스포츠트레이너)
· 선호 계열: 공학계열
· 불일치 해석: '약학은 그냥 멋져 보여서 고른 것이고 평소에 운동을 하기 때문에 무용·체육이 나온 것 같다'
· 선호 직무: 아이디어형 / 직업 가치: 안정성 &gt; 경제적 풍족 &gt; 사회적 인정</t>
        </is>
      </c>
      <c r="E8" s="5" t="inlineStr">
        <is>
          <t>검사 불일치 이유를 솔직하고 구체적으로 성찰. 건축 분야 관심이 이때부터 드러남.</t>
        </is>
      </c>
      <c r="F8" s="5" t="inlineStr"/>
    </row>
    <row r="9" ht="124"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건축가(건축설계사), 건축구조기술자, 실내장식 디자이너, 스포츠트레이너
· 토너먼트 최종: 건축구조 설계사 (선택 이유: 구조물이 멋있어 보이고 수입도 좋아 보여서—일부 판독 어려움)
· 건축구조 설계사 선택 이유: 건물 전체를 설계하기보다 구조를 설계하고 싶어서 / 실내장식 디자이너 포기 이유: '창의력이 뛰어나지 않아서'</t>
        </is>
      </c>
      <c r="E9" s="5" t="inlineStr">
        <is>
          <t>건축 분야 안에서 구조 설계 쪽을 선호. 스스로 '창의력이 뛰어나지 않다'고 평가한 점은 자신감 측면에서 참고.</t>
        </is>
      </c>
      <c r="F9" s="5" t="inlineStr">
        <is>
          <t>명함 만들기, 직무 유형·가치관 부합 성찰 미기재</t>
        </is>
      </c>
    </row>
    <row r="10" ht="236"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건축(구조) 설계
· AI 대체: 내진·풍하중 시뮬레이션 반복 수행, 설계안 최적화 비교
· AI 협업: AI는 여러 대안을 제시하고 인간 설계자는 맥락·심미성을 종합 판단
· 대체 불가: 현장 감각과 비정형 문제 해결, 책임을 동반한 의사결정
· 체크: 'AI가 예상보다 더 많이 대체할 수 있었다'
· 새로 알게 된 점: '현장 판단 이외에 대부분을 AI가 할 수 있다는 것에 놀랐다'
· 키울 역량: 리더십(현장을 이끌어야 해서), 윤리적 판단력(환경을 생각하는 건축물을 지어야 해서), 공간 감각 능력(설계해야 해서)
· 준비 1가지: 리더십 — '반장이나 조장 같은 걸 많이 한다'</t>
        </is>
      </c>
      <c r="E10" s="5" t="inlineStr">
        <is>
          <t>역량 이유와 실천 계획이 구체적. 1-1에서 궁금해한 AI 대체 문제를 직접 탐색함.</t>
        </is>
      </c>
      <c r="F10" s="5" t="inlineStr">
        <is>
          <t>명함 업그레이드, 모둠 토론 미기재</t>
        </is>
      </c>
    </row>
    <row r="11" ht="222"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건축학과 / 관심 대학: 경희대
· 학과 개요: 도시 공간에 관한 계획·설계·비평 등을 다루며 건축물과 도시 환경을 설계하는 학문(일부 판독 어려움)
· 연결 포인트: 블록 등으로 구조물 만들기를 좋아함 → 창의력·공간지각과 연결
· 고교 관련 과목: 기하, 미적분Ⅰ·Ⅱ, 미술, 정보, 물리학, 사회와 문화, 세계시민과 지리
· 대학 주요 교과목: 건축개론, 건축설계, 서양건축사, 건축구조, 건축설비
· 자격증: 건축사, 건축기사, 변리사 / 진출: 건축 설계 사무소, 인테리어 디자인 업체
· 다짐: 컴퓨터 동아리에 들어가고 학습 멘토링을 하며 공동체 목표 달성을 위해 노력한 모습을 보여줘야겠다</t>
        </is>
      </c>
      <c r="E11" s="5" t="inlineStr">
        <is>
          <t>완성도 높음. 다짐이 학생부 기록(동아리·공동체 역량)을 의식한 구체적 계획임.</t>
        </is>
      </c>
      <c r="F11" s="5" t="inlineStr">
        <is>
          <t>학과 전망(취업률) 미기재</t>
        </is>
      </c>
    </row>
    <row r="12" ht="124"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 70%+서류 30%·최저 X / 종합 9명·1단계 서류 100%, 2단계 면접 40%+1단계 60%·X / 논술 5명·학생부 30%(교과 20+출결 10)+논술 70%·최저 O / 정시 9명·수능 80%+학생부 교과 20%·X
· 준비도 별점: 교과·종합 전형을 상대적으로 높게, 논술·실기·정시를 낮게 표시</t>
        </is>
      </c>
      <c r="E12" s="5" t="inlineStr">
        <is>
          <t>사전 연습 표를 정확하고 꼼꼼하게 작성.</t>
        </is>
      </c>
      <c r="F12" s="5" t="inlineStr">
        <is>
          <t>step2(도전 대입 전형 설계) 전체 미기재</t>
        </is>
      </c>
    </row>
    <row r="13" ht="138"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건축가, 희망 학과 건축학과, 목표 대학 경희대 공학계열 (변화 여부 체크 없음) / 유지 이유: '원래 꿈이어서'
· 최종 진로 목표: 공학계열 / 건축가 / 건축학과 / 경희대
· 과목 선택 설계: 수학—기하(진로), 대수, 미적분Ⅰ·Ⅱ, 확률과 통계 / 과학—물리학(일반)
· 수시 관심 전형: 학생부 교과 / 2학기 집중 과제: 생기부 관리 등(일부 판독 어려움)</t>
        </is>
      </c>
      <c r="E13" s="5" t="inlineStr">
        <is>
          <t>1-4 → 1-5 → 1-7 → 최종까지 건축 분야로 일관. 1-5에서는 '건축구조 설계사'를 골랐으나 최종 직업은 '건축가'로 적어 세부 직무는 아직 탐색 중으로 보임.</t>
        </is>
      </c>
      <c r="F13" s="5" t="inlineStr">
        <is>
          <t>국어·영어·사회·기타 과목 설계, 2학기 다짐 미기재</t>
        </is>
      </c>
    </row>
    <row r="14" ht="166"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2025학년도 공과대학 컴퓨터공학부
· 개인 평가: 학업 C&gt;A&gt;B, 진로 C&gt;B&gt;A, 공동체 B&gt;A&gt;C (여백에 역량별 관점 메모: 의미 있는 활동 / 성적 / 협업 경험)
· 이유: 학업—'성장하는 과정이 잘 보여서' / 진로—'C가 다 1등급이라서' / 공동체—'B의 서사가 좋아서'
· 조별 예상 C&gt;A&gt;B → 실제 결과 C&gt;A&gt;B (완전 일치)
· 느낀 점: '조금 더 열심히 살아야겠다' / 배운 점: '활동을 더 열심히 해야겠다'</t>
        </is>
      </c>
      <c r="E14" s="5" t="inlineStr">
        <is>
          <t>예상 순위가 실제 결과와 완전히 일치. 다만 진로 역량 근거로 '성적(1등급)'을 들어 역량 구분 이해는 보완 여지 있음.</t>
        </is>
      </c>
      <c r="F14" s="5" t="inlineStr"/>
    </row>
    <row r="15" ht="220"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주제탐구(진로연계형)
· 선택 이유: 평소 건축학과와 건축공학과가 어떤 차이가 있는지 궁금해서 조사·발표하고 싶어서
· 관심 분야 3가지: 건축공학, 건축, 건축구조기술사
· 그렇게 생각한 이유: 유튜브 쇼츠의 미국 드라마를 보고 건축공학에 관심이 생겼고, 건축학과와 무슨 차이인지 궁금해짐
· 잠정 탐구 주제: 건축학과와 건축공학과의 차이점
· 주제 선택 이유: 건축과가 있는 대학교를 찾다가 두 학과가 따로 있는 것을 보고 차이를 알고 싶어짐
· 8차시 계획: 2 건축과 조사 → 3 건축공학과 조사 → 4 관련 직업 조사 → 5 각 직업의 수입 조사 → 6 PPT 제작(1차) → 7 PPT 제작(2차)
· 한 줄 다짐: '나의 인생이 걸린 문제라고 생각하고 열심히 하겠다'</t>
        </is>
      </c>
      <c r="E15" s="5" t="inlineStr">
        <is>
          <t>진로 관심(건축)이 뚜렷하고 차시별 계획·산출물이 구체적임. 다짐에서 강한 진로 의지가 드러남.</t>
        </is>
      </c>
      <c r="F15" s="5" t="inlineStr">
        <is>
          <t>자가 점검 1개만 체크</t>
        </is>
      </c>
    </row>
    <row r="16" ht="150"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건축학과와 건축공학과는 뭐가 다를까?
· 하위 질문 ①: 건축학과와 건축공학과의 교육과정은 어떻게 다를까?
· 하위 질문 ②: 5년제 체제와 4년제 체제가 갈라지게 된 배경은 무엇일까?
· 하위 질문 ③: 졸업 후 어떤 진로와 이어질까?
· 활용할 자료원: 서울대·연세대·고려대·한양대·성균관대·경희대·서울시립대·홍익대·건국대·중앙대 건축학과·건축공학과 커리큘럼</t>
        </is>
      </c>
      <c r="E16" s="5" t="inlineStr">
        <is>
          <t>자료원을 10개 대학 커리큘럼으로 구체적으로 정해 비교 탐구 설계가 명확함. '5년제/4년제' 학제 차이까지 짚어 사전 조사를 한 것으로 보임.</t>
        </is>
      </c>
      <c r="F16" s="5" t="inlineStr">
        <is>
          <t>없음</t>
        </is>
      </c>
    </row>
    <row r="17" ht="360"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5개 + 메모 (대학별 건축학과·건축공학과 교육과정 비교, 글씨가 흐려 일부 판독 어려움)
· ① 서울대 교과목 및 교육목표: 2007년부터 5년제 건축학과와 4년제 건축공학과로 나뉨. 건축학과는 건물의 예술적 가치에, 건축공학은 기술과 경영에 중점 / 여백 메모: 건축공학과는 건설회사 경영진·건축구조 쪽으로, 건축학과는 건축사·건축이론 및 비평 쪽으로 진로가 이어짐
· ② 연세대 건축공학과 학부 교육과정: 4년제 건축공학 단일과정 중심, 글로벌 교육을 위해 의사소통 능력을 키우고 지속가능한 구조 설계와 경영·건설 계획 및 수행을 배움
· ③ 고려대 건축학과 학과 안내 및 교육과정: 5년제 건축학 단일과정 중심, 국제 경쟁력을 갖춘 건축인 양성을 위해 50% 이상의 과목을 영어로 진행
· ④ 경희대 건축/건축공학과 교육과정: 건축공학과는 계산·구조해석·기술 응용 위주, 건축학과는 표현 기법·설계 기초 등을 배움
· ⑤ 홍익대 건축/실내건축학부 교육과정: 1학년 공통과정 후 세부 학부로 나뉨. 건축/건축공학이 아니라 건축·실내건축학으로 나뉨
· 메모: '각 대학이 언어를 생각보다 중요하게 봄'</t>
        </is>
      </c>
      <c r="E17" s="5" t="inlineStr">
        <is>
          <t>2차시에 정한 대로 대학 커리큘럼을 비교해 하위 질문 ①(교육과정 차이)·③(졸업 후 진로)에 답하는 자료를 모두 모음. 비교하면서 '영어 수업 비중'이라는 새로운 발견을 메모로 남김.</t>
        </is>
      </c>
      <c r="F17" s="5" t="inlineStr">
        <is>
          <t>자료 ① 요약 일부 판독 어려움(원본 확인 필요) / 하위 질문 ②(5년제·4년제 분리 배경) 자료는 아직 없음</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10405 김영우)</t>
        </is>
      </c>
    </row>
    <row r="2">
      <c r="A2" s="2" t="inlineStr">
        <is>
          <t>※ 활동지 스캔본(PDF)을 바탕으로 정리. 필체 판독이 어렵거나 학생이 미기재한 항목은 '판독 어려움/미기재'로 표기함. 이번 스캔본에 포함되지 않은 차시: 1-2, 1-3, 2-2.</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80"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진진가 퀴즈 답: 2번
· 자기소개 문제: 좋아하는 과목은 국어·역사 / MBTI는 ENFP / 제주도 여행을 한 번도 가 본 적이 없다
· 질문지: 꿈을 위해 노력 '그렇다', 가족과 대화 '보통', 진로를 말할 수 있다 문항은 '그렇다'와 '그렇지 않다'에 모두 체크
· 상담 상대(순위 표시): 부모·친척 1, 학원 강사 2, 교사 3 / 중요 요소: 나의 소질과 적성 / 정보 탐색: 인터넷
· 노력: 흥미와 적성을 찾기 위한 비교과 활동 참여 / 어려움: 나의 특성에 대해 몰라서</t>
        </is>
      </c>
      <c r="E5" s="5" t="inlineStr">
        <is>
          <t>진로를 자신 있게 말할 수 있는지에 대해 응답이 엇갈림(두 칸 체크).</t>
        </is>
      </c>
      <c r="F5" s="5" t="inlineStr">
        <is>
          <t>공부·상담 문항, 약속, 소감, 다섯 글자 다짐 미기재</t>
        </is>
      </c>
    </row>
    <row r="6" ht="68"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이번 스캔본에 해당 차시 활동지가 포함되어 있지 않음</t>
        </is>
      </c>
      <c r="E6" s="5" t="inlineStr"/>
      <c r="F6" s="5" t="inlineStr">
        <is>
          <t>1-2 활동지 없음(원본 확인 필요)</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이번 스캔본에 해당 차시 활동지가 포함되어 있지 않음</t>
        </is>
      </c>
      <c r="E7" s="5" t="inlineStr"/>
      <c r="F7" s="5" t="inlineStr">
        <is>
          <t>1-3 활동지 없음(원본 확인 필요)</t>
        </is>
      </c>
    </row>
    <row r="8" ht="208"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①감사(소크라테스) ②도덕성(임마누엘 칸트) ③원만성(넬슨 만델라)
· 핵심 강점 '감사' 연상어: 마음, 칭찬, 만족감, 고마움, 행복, 치유, 가족
· 강화 방안: 사소한 일에도 고마운 마음 담기, 부모님께 항상 고마운 마음 가지기
· MIT 희망 전공: 국어국문학, 식품·조리, 음악 → 추천: 국어국문학, 농림·축산, 음악
· 선호 계열: 인문계열
· 불일치 해석: 식품 관련과 농사 관련 직업을 비슷하게 골랐는데 활동·직업 점수는 농림·축산이 높았다, '둘 다 좋아하는 직업이다'
· 선호 직무: 글로벌형 / 직업 가치: 경제적 풍족 &gt; 안정성 &gt; 사회적 인정</t>
        </is>
      </c>
      <c r="E8" s="5" t="inlineStr">
        <is>
          <t>완성도 높음. 검사 결과 차이를 문항 응답 방식까지 따져 성찰함.</t>
        </is>
      </c>
      <c r="F8" s="5" t="inlineStr"/>
    </row>
    <row r="9" ht="68"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조사: 시인(소설가), 공무원, 요리사(바리스타를 지우고 수정) — 교과서 쪽수를 참고해 하는 일·필요 능력·관련 학과 작성</t>
        </is>
      </c>
      <c r="E9" s="5" t="inlineStr">
        <is>
          <t>문학(국어국문) 관심이 1-4에 이어 유지됨. 식품·조리 관심도 함께 나타남.</t>
        </is>
      </c>
      <c r="F9" s="5" t="inlineStr">
        <is>
          <t>4번째 직업, 토너먼트, 명함 미기재</t>
        </is>
      </c>
    </row>
    <row r="10" ht="68"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'AI가 대체할 수 있는 것' 칸에 '글쓰기' 한 단어만 기재</t>
        </is>
      </c>
      <c r="E10" s="5" t="inlineStr">
        <is>
          <t>활동이 거의 진행되지 않음 — 관심 직업(작가·국어국문 분야) 기준으로 보충 지도 가능.</t>
        </is>
      </c>
      <c r="F10" s="5" t="inlineStr">
        <is>
          <t>학번·이름 및 대부분 항목 미기재</t>
        </is>
      </c>
    </row>
    <row r="11" ht="236"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국어국문학과 / 관심 대학: 한양대(건국대를 지우고 수정)
· 학과 개요: 글쓰기와 읽기를 주로 하며 우리말의 유래와 올바른 언어 사용을 공부
· 연결 포인트: '책을 읽고 그 책을 풀어 쓰는 걸 좋아함'
· 고교 관련 과목: 화법과 언어, 국어, 주제 탐구 독서
· 대학 주요 교과목: (기초) 한국어학개론, 한국문법론, 한국문학과 한국사회 / (심화) 한국어의 역사, 한국어어휘론, 한국 고전문학사
· 자격증: 중등학교 2급 정교사, 독서지도사, 국어능력인증시험 등 / 진출: 출판사, 신문사, 광고 기획사
· 다짐: 창작 동아리 참여, 진로활동, 자율활동(문해력 향상 읽기), 독서 활동</t>
        </is>
      </c>
      <c r="E11" s="5" t="inlineStr">
        <is>
          <t>완성도 높음. 준비 계획을 창체 영역(동아리·진로·자율·독서)별로 구체적으로 제시.</t>
        </is>
      </c>
      <c r="F11" s="5" t="inlineStr">
        <is>
          <t>학과 전망(취업률) 미기재</t>
        </is>
      </c>
    </row>
    <row r="12" ht="96"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모집 인원(4·9·5·9명)과 전형 방법·최저 기준 일부 기재(교과 전형 방법을 '서류종합평가'로 적는 등 일부 확인 필요)
· 준비도 별점: 교과·종합·논술 3개, 실기·정시 2개</t>
        </is>
      </c>
      <c r="E12" s="5" t="inlineStr"/>
      <c r="F12" s="5" t="inlineStr">
        <is>
          <t>step2(도전 대입 전형 설계) 전체 미기재</t>
        </is>
      </c>
    </row>
    <row r="13" ht="68"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작가 '그대로 유지', 희망 학과 국문학과 '그대로 유지', 목표 대학 '부분 수정'(대학명 판독 어려움)</t>
        </is>
      </c>
      <c r="E13" s="5" t="inlineStr">
        <is>
          <t>1-4 → 1-5 → 1-7 → 최종까지 국어국문학·작가 진로가 일관됨.</t>
        </is>
      </c>
      <c r="F13" s="5" t="inlineStr">
        <is>
          <t>학번·이름 미기재, 변경 이유·최종 진로 목표·과목 설계·대입 전형·다짐 미기재</t>
        </is>
      </c>
    </row>
    <row r="14" ht="110"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이번 3차시(2-2) 반 스캔본에 10405 활동지가 포함되어 있지 않음</t>
        </is>
      </c>
      <c r="E14" s="5" t="inlineStr"/>
      <c r="F14" s="5" t="inlineStr">
        <is>
          <t>결석 또는 미제출 여부 확인 필요</t>
        </is>
      </c>
    </row>
    <row r="15" ht="276"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 (트랙 표에서 주제탐구·진로독서 모두 동그라미 후 주제탐구 체크, 'with 황현준')
· 선택 이유: 평소 소설가·크리에이터에 관심이 있어, 아직 정확한 주제는 아니지만 둘의 공통점을 찾아 조사하고 싶어서
· 관심 분야 3가지: 소설가, 크리에이터, 글과 관련된 진로
· 그렇게 생각한 이유: 최근 국어국문학·문예창작 쪽 학과에 관심이 생겨 관련 직업·진로를 찾아보고 싶음(일부 판독)
· 잠정 탐구 주제: 시대에 따른 소설의 변화와 크리에이터의 주요 활동(일부 판독)
· 주제 선택 이유: 최근 크리에이터가 커지고 있고, 책을 많이 봐서 동경하는 작가 같은 길을 가고 싶음
· 8차시 계획: 2차시 자료수집·PPT 앱·탐구 방법 찾기만 기재
· 한 줄 다짐: 8차시 동안 포트폴리오를 열심히 준비하여 완성하겠다</t>
        </is>
      </c>
      <c r="E15" s="5" t="inlineStr">
        <is>
          <t>글쓰기·창작 계열 진로 관심이 드러남. 짝(황현준)과 계획표 문구가 같음.</t>
        </is>
      </c>
      <c r="F15" s="5" t="inlineStr">
        <is>
          <t>3~7차시 계획 미기재, 자가 점검 미체크, 잠정 주제 일부 판독 어려움</t>
        </is>
      </c>
    </row>
    <row r="16" ht="122"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소설가와 가수의 창작 과정에는 어떤 차이가 있는가
· 하위 질문 ①: 소설가와 가수의 정의
· 하위 질문 ②: 소설가와 가수의 공통점
· 하위 질문 ③: 소설가와 가수의 차이점
· 활용할 자료원: 유튜브
· 메모: '더 찾아보고 싶은 것: 소설과 노래를 합친 예'</t>
        </is>
      </c>
      <c r="E16" s="5" t="inlineStr">
        <is>
          <t>1차시 '소설가+크리에이터'에서 짝(황현준)의 관심인 '가수'와 결합한 주제로 바뀜. 하위 질문이 정의·공통점·차이점 나열 수준이라 탐구 질문 형태로 다듬는 지도가 필요해 보임.</t>
        </is>
      </c>
      <c r="F16" s="5" t="inlineStr">
        <is>
          <t>자료원이 유튜브 1가지뿐</t>
        </is>
      </c>
    </row>
    <row r="17" ht="319"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4개 + 메모
· ① 커리어넷: 작사가가 되려면 나와야 할 학과와 그 학과 정보 찾기 / 국어국문학과: 한류 열풍으로 창의적인 글쓰기를 가르침(일부 판독 어려움)
· ② 대입정보포털·커리어넷: 글과 관련된 문학을 만들며 시대적 배경과 장소 성격에 따라 작품을 전개함. 감정을 끌어올리는 일도 필요
· ③ 유튜브: 소설을 주제로 한 노래 — 빅뱅 '꽃길'(판독 추정), 방탄소년단 '피 땀 눈물'(『데미안』)
· ④ 임금정보포털(고용24): 등장인물·사건·배경을 구성함. 국어국문학과·문예창작과에서 준비하면 유리함
· 메모: '여러 사이트에서 조사해 가수(싱어송라이터)와 소설가를 비교해야겠다'</t>
        </is>
      </c>
      <c r="E17" s="5" t="inlineStr">
        <is>
          <t>'소설을 주제로 한 노래' 사례를 찾아 2차시 메모('소설과 노래를 합친 예')를 이어감. 다만 요약이 학과 정보 위주라 탐구 질문(창작 과정의 차이)에 대한 답은 아직 부족함. 짝 황현준과 자료가 겹치지 않아 합치면 보완될 수 있음.</t>
        </is>
      </c>
      <c r="F17" s="5" t="inlineStr">
        <is>
          <t>자료 ⑤ 미기재 / 자료 ①·③ 일부 판독 어려움</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10407 김은조)</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52"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질문지: 진로를 자신 있게 말할 수 있다 '그렇다', 꿈을 위해 노력 '그렇지 않다', 가족과 꿈 이야기 '그렇지 않다', 공부 알고 노력 '보통', 상담 경험 '그렇지 않다'
· 중요 요소: 나의 소질과 적성 / 정보 탐색: 인터넷 검색 / 노력: 틈틈이 정보 수집
· 어려움: 나의 특성(흥미·적성·가치관·성격)에 대해 몰라서
· 약속: 적극 (이유: 적극적으로 해야 얻는 게 있다는 취지—일부 판독 어려움)</t>
        </is>
      </c>
      <c r="E5" s="5" t="inlineStr">
        <is>
          <t>진로는 어느 정도 말할 수 있으나 노력·가족 대화·상담 경험은 적다고 응답.</t>
        </is>
      </c>
      <c r="F5" s="5" t="inlineStr">
        <is>
          <t>1쪽(진진가 퀴즈·자기소개) 전체, 원하는 진로활동, 깨달은 점, 다섯 글자 다짐 미기재</t>
        </is>
      </c>
    </row>
    <row r="6" ht="110"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전부 작성: 수능, 학생부 교과·학생부 종합, 최저학력, 5등급제·상위 10%, 지필+수행, 수행평가, 192학점, 희망 진로, 1학년 여름방학, 과정, 세부능력 및 특기사항, 수업에 적극적으로 참여(발표·질문·과제·수행평가), 자율/동아리, 행동특성 및 종합의견, 공통, 통합사회/통합과학, 정시 생기부 반영 O, 역전, 주도성</t>
        </is>
      </c>
      <c r="E6" s="5" t="inlineStr">
        <is>
          <t>빈칸을 모두 정확히 채움. 세특 태도를 발표·질문·과제 등으로 구체화함.</t>
        </is>
      </c>
      <c r="F6" s="5" t="inlineStr">
        <is>
          <t>앞면 학번·이름, 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 및 내용 전체 미기재(빈 활동지)</t>
        </is>
      </c>
      <c r="E7" s="5" t="inlineStr">
        <is>
          <t>활동지를 작성하지 않음.</t>
        </is>
      </c>
      <c r="F7" s="5" t="inlineStr">
        <is>
          <t>전체 미기재</t>
        </is>
      </c>
    </row>
    <row r="8" ht="166"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①긍정성(프랭클린 루스벨트) ②감성 회복력(헬렌 켈러) ③원만성(넬슨 만델라)
· 핵심 강점 '긍정성' 연상어: 좌절, 극복, 미래, 희망, 긍정적 사고, 기대, 믿음 / 강화 방안: '삶에 좌절하지 않고 미래를 기대하기'
· MIT 희망 전공: 전기·전자·컴퓨터, 기계·조선·항공, 경영·경제 → 추천: 전기·전자·컴퓨터(정보보안학과 등), 주거(인테리어)·의류, 미술·디자인
· 선호 계열: 공학계열
· 선호 직무: 글로벌형 / 직업 가치: 경제적 풍족 &gt; 안정성 &gt; 사회적 인정</t>
        </is>
      </c>
      <c r="E8" s="5" t="inlineStr">
        <is>
          <t>희망 1순위(전기·전자·컴퓨터)가 추천 결과와 일치 — 이후 정보보안 진로로 이어짐.</t>
        </is>
      </c>
      <c r="F8" s="5" t="inlineStr">
        <is>
          <t>일치 여부 성찰 미기재</t>
        </is>
      </c>
    </row>
    <row r="9" ht="82"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디지털 포렌식 수사관, 로봇 공학 기술자, 데이터베이스 관리자, 네트워크 엔지니어 — 하는 일·필요 능력·관련 학과를 충실히 작성
· 토너먼트 최종: 데이터베이스 관리자</t>
        </is>
      </c>
      <c r="E9" s="5" t="inlineStr">
        <is>
          <t>4개 직업이 모두 컴퓨터·정보 분야로 관심 영역이 뚜렷함.</t>
        </is>
      </c>
      <c r="F9" s="5" t="inlineStr">
        <is>
          <t>토너먼트 선택·포기 이유, 직무 유형·가치관 부합 성찰, 명함 미기재</t>
        </is>
      </c>
    </row>
    <row r="10" ht="222"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데이터베이스 관리자
· AI 대체: 성능 모니터링 및 튜닝의 반복 작업, 백업·복구·배포 자동화, 기본 SQL 작성 및 단순 데이터 관리
· AI 협업: 데이터 아키텍처 설계, 보안 이상 탐지 및 대응, 데이터 기반 의사결정 지원
· 대체 불가: 책임을 지는 최종 의사결정, 조직 간 커뮤니케이션과 조율, 비즈니스 맥락을 이해한 전략 설계
· 체크: '내 생각이 AI 답과 거의 같았다'
· 새로 알게 된 점: 생각이 얼추 비슷했지만 생각하지 못한 부분도 AI가 대체할 수 있다는 것
· 키울 역량: 커뮤니케이션 능력(무엇이 필요하고 잘못됐는지 원활히 소통), 책임감(자신의 선택에 책임), 비즈니스 이해력(기업의 요구사항 이해)</t>
        </is>
      </c>
      <c r="E10" s="5" t="inlineStr">
        <is>
          <t>직무 분석과 역량 선택 이유가 구체적이고 완성도 높음.</t>
        </is>
      </c>
      <c r="F10" s="5" t="inlineStr">
        <is>
          <t>준비 1가지, 명함 업그레이드, 모둠 토론 미기재</t>
        </is>
      </c>
    </row>
    <row r="11" ht="236"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정보보안학과 / 관심 대학: 지운 흔적(판독 불가)
· 학과 개요: 사이버 공간에서 정보를 안전하게 보호하고 해킹 같은 보안 위협을 방지하는 방법을 배우는 학문
· 연결 포인트: 논리적 사고 역량, 문제 해결 역량, 프로그래밍 역량
· 고교 관련 과목: 수학(미적분Ⅰ, 기하, 미적분Ⅱ, 인공지능 수학, 확률과 통계, 수학과제 탐구), 사회(현대사회와 윤리, 법과 사회, 윤리와 사상), 과학(물리학, 화학, 역학과 에너지, 전자기와 양자, 물질과 에너지, 화학 반응의 세계), 정보·데이터 과학
· 자격증: 정보보호전문가, 정보보안관리사, 국제공인정보시스템감사사
· 졸업 후 진출: 디지털 포렌식</t>
        </is>
      </c>
      <c r="E11" s="5" t="inlineStr">
        <is>
          <t>고교 관련 과목을 2022 개정 과목명으로 매우 구체적으로 제시 — 과목 선택 준비도 높음.</t>
        </is>
      </c>
      <c r="F11" s="5" t="inlineStr">
        <is>
          <t>대학 주요 교과목, 학과 전망, 다짐 미기재</t>
        </is>
      </c>
    </row>
    <row r="12" ht="110"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 70%+교과 관련 서류종합평가 30%·최저 미적용 / 종합 9명·1단계 서류 100%, 2단계 면접 40%+1단계 60%·미적용 / 논술 5명·학생부 30%(교과 20+출결 10)+논술 70%·최저 적용 / 정시 9명·수능 80%+학생부 평가 20%·미적용
· 준비도 별점: 전 유형 1~2개로 낮게 표시</t>
        </is>
      </c>
      <c r="E12" s="5" t="inlineStr">
        <is>
          <t>사전 연습 표를 정확하게 작성. 모든 전형 준비도를 낮게 자평 — 자신감 측면 참고.</t>
        </is>
      </c>
      <c r="F12" s="5" t="inlineStr">
        <is>
          <t>step2(도전 대입 전형 설계) 전체 미기재</t>
        </is>
      </c>
    </row>
    <row r="13" ht="96"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직업·희망 학과·목표 대학 모두 '그대로 유지'에만 체크</t>
        </is>
      </c>
      <c r="E13" s="5" t="inlineStr">
        <is>
          <t>1-4 → 1-5 → 1-6 → 1-7까지 컴퓨터·정보(데이터베이스·정보보안) 분야로 일관됨. 다만 최종 활동지는 체크 외 미작성.</t>
        </is>
      </c>
      <c r="F13" s="5" t="inlineStr">
        <is>
          <t>학번·이름 외 1학기 기록·최종 진로 목표·과목 설계·대입 전형·다짐 미기재</t>
        </is>
      </c>
    </row>
    <row r="14" ht="138"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연도·학과 미기재
· 개인 평가: 학업 A&gt;B&gt;C, 진로 B&gt;A&gt;C, 공동체 C&gt;A&gt;B
· 조별 예상 A&gt;C&gt;B → 실제 결과 A&gt;C&gt;B (완전 일치)
· 느낀 점: '다양한 학생부를 통해 나도 더 많은 노력이 필요하다는 것을 느낌'
· 배운 점: '성적뿐만 아니라 내 생기부도 잘 적는 것이 중요함'</t>
        </is>
      </c>
      <c r="E14" s="5" t="inlineStr">
        <is>
          <t>예상 순위 완전 일치. 성적 외 학생부 기록의 중요성을 인식.</t>
        </is>
      </c>
      <c r="F14" s="5" t="inlineStr">
        <is>
          <t>평가 사례 연도·학과, 역량별 이유 미기재</t>
        </is>
      </c>
    </row>
    <row r="15" ht="206"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습관형성 (트랙 체크는 없으나 C란을 작성)
· 선택 이유: 진로를 위해 더 공부하며 높은 곳을 바라봐야 하는데, 저녁 계획을 미루고 공부를 안 해서 시험 성적이 안 나와 이젠 정말 고쳐야겠다고 생각함
· 닮고 싶은 사람과 습관: 김연아(피겨) - 오랜 기간 포기하지 않고 늘 노력하며 목표를 위해 노력하는 습관
· 습관이 진로에 중요한 이유: 정보보안 전문가가 된다면 진화하는 해커들에 맞서기 위해 계속 발전해야 하고, 그러려면 꾸준히 공부하고 노력하는 습관이 필요함
· 개선하고 싶은 습관: 공부 계획만 세우고 제시간에 공부하지 않고 자꾸 딴짓하는 습관
· 한 줄 다짐: '제대로 하자!!'</t>
        </is>
      </c>
      <c r="E15" s="5" t="inlineStr">
        <is>
          <t>희망 진로(정보보안 전문가)와 습관의 필요성을 논리적으로 연결함. 시험 성적에 대한 아쉬움을 스스로 솔직하게 밝힘.</t>
        </is>
      </c>
      <c r="F15" s="5" t="inlineStr">
        <is>
          <t>최종 트랙 체크 누락, 8차시 계획 미기재, 자가 점검 미체크</t>
        </is>
      </c>
    </row>
    <row r="16" ht="178" customHeight="1">
      <c r="A16" s="4" t="inlineStr">
        <is>
          <t>p-2</t>
        </is>
      </c>
      <c r="B16" s="5" t="inlineStr">
        <is>
          <t>개별 진로 프로젝트 2차시(습관형성): 원인분석·목표설정 - 나를 돌아보고, 목표 세우기</t>
        </is>
      </c>
      <c r="C16" s="5" t="inlineStr">
        <is>
          <t>최근 목표·계획 돌아보기 → 목표 달성·계획 실행 정도 자기평가 → 어려움(장애물)과 개선방안 → SMART 기법으로 습관 목표 구체화 → 실천 확인(인증) 방법 → 모둠 의견 후 최종 습관 목표</t>
        </is>
      </c>
      <c r="D16" s="5" t="inlineStr">
        <is>
          <t>· 최근 목표·자기평가·어려움(1~3번): 미기재
· SMART 목표 - 매일 밤 9시 30분부터 공부하기
  S: 매일 밤 9시 30분부터 12시까지 공부하며 1일 정한 과목의 학습목표를 달성 / M: 매일 공부 시작·종료 시간과 학습 내용을 기록하고 일주일마다 목표를 몇 번 달성했는지 체크 / A: 현재 학교생활과 공부량을 고려해 하루에 공부할 과목과 양을 미리 정함 / R: 규칙적인 공부 습관으로 수업 내용을 복습하고 부족한 과목(영·수·과) 실력 향상 / T: 중간고사 전까지 주말 제외 평일 매일 실천
· 확인 방법: 습관 기록 앱·캘린더 캡처(체크)</t>
        </is>
      </c>
      <c r="E16" s="5" t="inlineStr">
        <is>
          <t>SMART 목표 작성 완성도가 매우 높음. 1차시에 밝힌 '계획만 세우고 딴짓하는 습관'을 정확히 겨냥한 목표. 부족 과목을 영·수·과로 스스로 짚음.</t>
        </is>
      </c>
      <c r="F16" s="5" t="inlineStr">
        <is>
          <t>1~3번(최근 목표·자기평가·장애물), 최종 확인 방법, 최종 습관 목표 미기재</t>
        </is>
      </c>
    </row>
    <row r="17" ht="272" customHeight="1">
      <c r="A17" s="4" t="inlineStr">
        <is>
          <t>p-3</t>
        </is>
      </c>
      <c r="B17" s="5" t="inlineStr">
        <is>
          <t>개별 진로 프로젝트 3차시(습관형성): 습관 실천 — 1주차 습관 기록표</t>
        </is>
      </c>
      <c r="C17" s="5" t="inlineStr">
        <is>
          <t>이번 주 목표와 확인(인증) 방법 정하기, 요일별 실천 내용·실천/인증 체크·오늘의 한 줄(동료 응원) 기록, 실천 일수와 한 주 소감 작성</t>
        </is>
      </c>
      <c r="D17" s="5" t="inlineStr">
        <is>
          <t>[습관형성] 1주차 습관 기록표
· 이번 주 목표: 처음 쓴 목표(매일 9시 ~ 공부)를 지우고 '영단어 20개 외우기' / 확인(인증) 방법: 어플 기록
· 요일별: 월 '시작일', 화 '까먹음…'(한 줄: '시계를 보니 이미 11시였다…'), 수·일 가족 외식, 목·금·토 추석(할머니 집) — 7일 모두 실천 ×
· 이번 주 실천 일수: 0일 / 7일
· 느낀 점: '화요일부터 시작하려 했는데 화요일엔 까먹고 나머지 날에는 9시에 집에 있지 않아서 계획을 실천하지 못해 아쉽다. 이번 주부터라도 꼭 실천해야겠다.'</t>
        </is>
      </c>
      <c r="E17" s="5" t="inlineStr">
        <is>
          <t>추석 연휴로 실천하지 못한 사정을 날마다 솔직하게 적음. 2차시 SMART 목표(밤 9시 30분 공부)가 집에 있는 날만 가능한 구조라, 외출하는 날에도 할 수 있는 목표(예: 어디서든 영단어 20개)로 바꾼 점은 좋음. 다음 주 실천 여부 확인 필요.</t>
        </is>
      </c>
      <c r="F17" s="5" t="inlineStr">
        <is>
          <t>실천 0일</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10408 김하준)</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68" customHeight="1">
      <c r="A5" s="4" t="inlineStr">
        <is>
          <t>1-1</t>
        </is>
      </c>
      <c r="B5" s="5" t="inlineStr">
        <is>
          <t>진로수업 OT</t>
        </is>
      </c>
      <c r="C5" s="5" t="inlineStr">
        <is>
          <t>자기소개(진진가 퀴즈), 1학기 진로활동 안내, 진로탐색·의사결정 능력 질문지, 진로수업 약속 및 다짐</t>
        </is>
      </c>
      <c r="D5" s="5" t="inlineStr">
        <is>
          <t>학번·이름만 기재, 진진가 퀴즈·질문지·약속·다짐 모두 미기재</t>
        </is>
      </c>
      <c r="E5" s="5" t="inlineStr">
        <is>
          <t>OT 활동지를 작성하지 않음.</t>
        </is>
      </c>
      <c r="F5" s="5" t="inlineStr">
        <is>
          <t>전체 미기재</t>
        </is>
      </c>
    </row>
    <row r="6" ht="82"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일부만 작성: 정시=수능, 교과 전형 칸에 '학생부', 최저 칸에 '내신', 등급제 칸에 '성적', 1등급 비율 '50%', 내신 구성 '성적·지필', 수행평가, 여름방학 등
· 4~7번 문항 대부분 미기재</t>
        </is>
      </c>
      <c r="E6" s="5" t="inlineStr">
        <is>
          <t>기재한 답 가운데 오답이 많음(5등급제·상위 10%·192학점 등) — 영상 내용 이해 확인 필요.</t>
        </is>
      </c>
      <c r="F6" s="5" t="inlineStr">
        <is>
          <t>4~8번 대부분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학번·이름만 기재, 내용 전체 미기재</t>
        </is>
      </c>
      <c r="E7" s="5" t="inlineStr">
        <is>
          <t>활동지를 작성하지 않음.</t>
        </is>
      </c>
      <c r="F7" s="5" t="inlineStr">
        <is>
          <t>전체 미기재</t>
        </is>
      </c>
    </row>
    <row r="8" ht="110"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①호기심 ②공감 ③유머 / 관련 직업: 요리사, 화가, 중국어과(대만)
· 연상어: 호기심, 관심, 언어, 외국, 활동, 체험, 관련, 흥미
· MIT 검사표와 직업 가치 칸에 요리사·화가·중국어과를 반복 기재</t>
        </is>
      </c>
      <c r="E8" s="5" t="inlineStr">
        <is>
          <t>관심 분야로 요리·미술·외국어(중국어·대만)를 꼽음. 검사 결과 칸과 가치 칸에 직업명을 적어 양식을 오해한 것으로 보임 — 검사 결과지 확인하며 개별 지도 권장.</t>
        </is>
      </c>
      <c r="F8" s="5" t="inlineStr">
        <is>
          <t>대표 인물, 핵심 강점, 강화 방안, 희망/추천 전공, 선호 계열·직무 유형 미기재</t>
        </is>
      </c>
    </row>
    <row r="9" ht="68"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요리사 1개 — 하는 일 '가게나 식당 운영', 필요 능력 '재료'</t>
        </is>
      </c>
      <c r="E9" s="5" t="inlineStr"/>
      <c r="F9" s="5" t="inlineStr">
        <is>
          <t>나머지 직업 3개, 관련 학과, 토너먼트, 명함 미기재</t>
        </is>
      </c>
    </row>
    <row r="10" ht="68"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'AI가 대체할 수 있는 것' 칸에 '요리사'만 기재</t>
        </is>
      </c>
      <c r="E10" s="5" t="inlineStr">
        <is>
          <t>활동이 거의 진행되지 않음.</t>
        </is>
      </c>
      <c r="F10" s="5" t="inlineStr">
        <is>
          <t>대부분 항목 미기재</t>
        </is>
      </c>
    </row>
    <row r="11" ht="110"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교육학과, 영어교육학과 / 관심 대학: '안산대학교 가고 싶어서'
· 고교 관련 과목: 영어, 통합사회, 문학
· 대학 주요 교과목: '외국어 공부하고'
· 자격증: 중등 1급·2급 정교사 / 진출: 공기업, 외교부 등(일부 판독 어려움)
· 다짐: 출결, 동아리(교육 관련)</t>
        </is>
      </c>
      <c r="E11" s="5" t="inlineStr">
        <is>
          <t>1-4·1-5의 요리사·화가와 달리 교육·영어교육 분야를 탐색. 외국어에 대한 관심은 1-4부터 이어짐.</t>
        </is>
      </c>
      <c r="F11" s="5" t="inlineStr">
        <is>
          <t>학과 개요, 연결 포인트, 학과 전망 미기재</t>
        </is>
      </c>
    </row>
    <row r="12" ht="54"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연습·별점 미기재
· step2 학생부 반영 과목 칸에 '외국어'만 기재</t>
        </is>
      </c>
      <c r="E12" s="5" t="inlineStr"/>
      <c r="F12" s="5" t="inlineStr">
        <is>
          <t>대부분 미기재</t>
        </is>
      </c>
    </row>
    <row r="13" ht="68"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학번·이름 포함 전체 미기재</t>
        </is>
      </c>
      <c r="E13" s="5" t="inlineStr">
        <is>
          <t>1학기 마무리 활동 미작성.</t>
        </is>
      </c>
      <c r="F13" s="5" t="inlineStr">
        <is>
          <t>전체 미기재</t>
        </is>
      </c>
    </row>
    <row r="14" ht="110"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학번·이름만 기재, 평가·순위·느낀 점 모두 미기재</t>
        </is>
      </c>
      <c r="E14" s="5" t="inlineStr">
        <is>
          <t>활동 미참여로 보임 — 확인 필요.</t>
        </is>
      </c>
      <c r="F14" s="5" t="inlineStr">
        <is>
          <t>전체 미기재</t>
        </is>
      </c>
    </row>
    <row r="15" ht="94"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습관형성 (트랙 표에 동그라미·체크)
· 선택 이유: 습관형성 트랙의 추천 대상 문구(학습·생활·건강 습관 개선이 시급한, 매일 실천하며 변화를 체감하고 싶은)를 거의 그대로 옮겨 씀</t>
        </is>
      </c>
      <c r="E15" s="5" t="inlineStr">
        <is>
          <t>선택 이유를 안내 문구에서 옮겨 적어 자기 생각이 드러나지 않음. 1학기에도 미작성 활동지가 많았던 학생이라 개별 확인·지원 필요.</t>
        </is>
      </c>
      <c r="F15" s="5" t="inlineStr">
        <is>
          <t>C란(닮고 싶은 사람·중요 이유·개선 습관), 8차시 계획, 한 줄 다짐, 자가 점검 모두 미기재</t>
        </is>
      </c>
    </row>
    <row r="16" ht="108" customHeight="1">
      <c r="A16" s="4" t="inlineStr">
        <is>
          <t>p-2</t>
        </is>
      </c>
      <c r="B16" s="5" t="inlineStr">
        <is>
          <t>개별 진로 프로젝트 2차시(습관형성): 원인분석·목표설정 - 나를 돌아보고, 목표 세우기</t>
        </is>
      </c>
      <c r="C16" s="5" t="inlineStr">
        <is>
          <t>최근 목표·계획 돌아보기 → 목표 달성·계획 실행 정도 자기평가 → 어려움(장애물)과 개선방안 → SMART 기법으로 습관 목표 구체화 → 실천 확인(인증) 방법 → 모둠 의견 후 최종 습관 목표</t>
        </is>
      </c>
      <c r="D16" s="5" t="inlineStr">
        <is>
          <t>· 최근 목표: 적었다가 까맣게 지움
· 자기평가: 목표 달성 '보통', 계획 실행 '부족' (이유 미기재)
· 어려움: 1번은 지움, 2번 '외국말 배우기 뜻'(의미 불분명)
· SMART 목표: 목표 칸에 '습관 8시 20분 일찍'만 기재</t>
        </is>
      </c>
      <c r="E16" s="5" t="inlineStr">
        <is>
          <t>작성한 내용을 여러 번 지운 흔적이 있음. 목표 칸의 '8시 20분 일찍'은 등교·기상 시간 관련 목표로 추정되나 확인 필요.</t>
        </is>
      </c>
      <c r="F16" s="5" t="inlineStr">
        <is>
          <t>개선방안, SMART S~T, 확인 방법, 최종 습관 목표 미기재</t>
        </is>
      </c>
    </row>
    <row r="17" ht="261" customHeight="1">
      <c r="A17" s="4" t="inlineStr">
        <is>
          <t>p-3</t>
        </is>
      </c>
      <c r="B17" s="5" t="inlineStr">
        <is>
          <t>개별 진로 프로젝트 3차시(습관형성): 습관 실천 — 1주차 습관 기록표</t>
        </is>
      </c>
      <c r="C17" s="5" t="inlineStr">
        <is>
          <t>이번 주 목표와 확인(인증) 방법 정하기, 요일별 실천 내용·실천/인증 체크·오늘의 한 줄(동료 응원) 기록, 실천 일수와 한 주 소감 작성</t>
        </is>
      </c>
      <c r="D17" s="5" t="inlineStr">
        <is>
          <t>[습관형성] 1주차 습관 기록표
· 이번 주 목표·확인(인증) 방법: 비어 있음
· 월: 아침 자습 만들기(한 줄: 컴퓨터 강의) / 화: 아침 등교 몇 시 습관(8시에 출발) / 수: 외국어 배우기(외국말이 어떤 뜻인지 알아보기) / 목: 운동하기(농구나 배드민턴 하기) / 금: 나의 상황을 고려한 (목표)
· 월~일 실천 칸 모두 ✓ 표시, 인증 칸은 비어 있음, 토·일은 실천 내용 없음
· 이번 주 실천 일수·느낀 점: 비어 있음</t>
        </is>
      </c>
      <c r="E17" s="5" t="inlineStr">
        <is>
          <t>요일마다 서로 다른 습관(자습, 등교 시간, 외국어, 운동)을 적어 '한 가지 습관을 매일 반복해 기록하는' 활동 취지와 다르게 작성함. 2차시의 '8시 20분 일찍'·'외국말 배우기'가 이번 기록에도 나타나므로, 이 중 하나를 이번 주 목표로 정하도록 개별 지도 필요.</t>
        </is>
      </c>
      <c r="F17" s="5" t="inlineStr">
        <is>
          <t>이번 주 목표, 확인 방법, 인증, 토·일 실천 내용, 실천 일수, 느낀 점 미기재</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10409 김효신)</t>
        </is>
      </c>
    </row>
    <row r="2">
      <c r="A2" s="2" t="inlineStr">
        <is>
          <t>※ 활동지 스캔본(PDF)을 바탕으로 정리. 필체 판독이 어렵거나 학생이 미기재한 항목은 '판독 어려움/미기재'로 표기함. 이번 스캔본에 포함되지 않은 차시: 1-3.</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80"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자기소개 문제: 중학교 때 수학 100점을 받은 적 / 강아지를 키워 본 적이 있다 / (3번 판독 어려움)
· 질문지: 진로를 말할 수 있다·꿈을 위해 노력·공부 알고 노력 '그렇지 않다', 가족과 꿈 이야기·상담 경험 '매우 그렇지 않다'
· 중요 요소: 나의 소질과 적성 / 정보 탐색: 인터넷·유튜브 / 노력: 틈틈이 정보 수집
· 어려움: 나의 특성에 대해 몰라서
· 원하는 진로활동: '적성 찾기, 다양한 직업 알아보기'
· 약속: 적극 / 다섯 글자: '열심히하자'</t>
        </is>
      </c>
      <c r="E5" s="5" t="inlineStr">
        <is>
          <t>진로 탐색 문항 5개 모두 부정 응답 — 진로 확신과 대화 경험이 적은 상태. 적성 탐색 활동을 스스로 원함.</t>
        </is>
      </c>
      <c r="F5" s="5" t="inlineStr">
        <is>
          <t>진진가 퀴즈 정답, 상담 상대, 약속 이유, 깨달은 점 미기재</t>
        </is>
      </c>
    </row>
    <row r="6" ht="82"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수능, 교과·종합, 최저, 5등급제·상위 10%, 지필+수행, 수행평가, 192학점, 진로, 1학년 여름방학, 과정, 세부능력 및 특기사항, 수업 적극 참여, 자율·자치, 행동특성 및 종합의견, 공통, 통합사회/통합과학, 역전, 주도성</t>
        </is>
      </c>
      <c r="E6" s="5" t="inlineStr">
        <is>
          <t>대부분 정확. '관심 분야를 보여주는 활동'을 '진로'로 적음(정답: 동아리).</t>
        </is>
      </c>
      <c r="F6" s="5" t="inlineStr">
        <is>
          <t>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이번 스캔본에 해당 차시 활동지가 포함되어 있지 않음</t>
        </is>
      </c>
      <c r="E7" s="5" t="inlineStr"/>
      <c r="F7" s="5" t="inlineStr">
        <is>
          <t>1-3 활동지 없음(원본 확인 필요)</t>
        </is>
      </c>
    </row>
    <row r="8" ht="180"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①유머(조지 버나드 쇼) ②원만성(넬슨 만델라) ③개방성(파블로 피카소)
· 핵심 강점 '개방성' 연상어: 창의, 토론, 긍정, 수용, 포용, 예술, 추상 / 강화 방안: '다양성 수용하기'
· MIT 희망 전공: 주거·의류, 미술·디자인, 식품·조리 → 추천: 언론·홍보, 미술·디자인, 주거·의류(의상디자이너·패션디자인학과, 화가·뷰티미용학과, 제과제빵원·호텔조리과)
· 선호 계열: 예체능계열
· 선호 직무: 아이디어형 / 직업 가치: 경제적 풍족 &gt; 안정성 &gt; 사회적 인정</t>
        </is>
      </c>
      <c r="E8" s="5" t="inlineStr">
        <is>
          <t>희망과 추천 전공이 디자인 분야에서 겹침.</t>
        </is>
      </c>
      <c r="F8" s="5" t="inlineStr">
        <is>
          <t>일치 여부 성찰 미기재</t>
        </is>
      </c>
    </row>
    <row r="9" ht="110"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관광가이드, 패션디자이너, 공무원, 호텔 컨시어지 — 하는 일·필요 능력·관련 학과 작성
· 토너먼트 최종: 관광가이드 (선택 이유: '흥미도 있고 적성에 잘 맞는 것 같아서')
· 패션디자이너 포기 이유: '관광가이드가 더 적성에 맞는 것 같아서'</t>
        </is>
      </c>
      <c r="E9" s="5" t="inlineStr">
        <is>
          <t>관광·서비스와 디자인 사이에서 고민.</t>
        </is>
      </c>
      <c r="F9" s="5" t="inlineStr">
        <is>
          <t>직무 유형·가치관 부합 성찰, 명함 미기재</t>
        </is>
      </c>
    </row>
    <row r="10" ht="208"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동물 관련 직업(사육사 계열로 보임)
· AI 대체: 동물 건강 상태 기록 관리, 먹이 공급 및 청소 일부, CCTV 행동 관찰
· AI 협업: 동물 건강관리 보조, 멸종위기 동물 보호 연구, 관람객 교육 프로그램 운영
· 대체 불가: 동물과의 신뢰 형성, 위급 상황에서의 즉각적인 판단, 생명을 대하는 책임과 공감
· 체크: 'AI가 못 하는 부분이 생각보다 많았다'
· 새로 알게 된 점: 먹이 공급과 청소 일부는 AI가 맡으면 좋을 것 같아 놀랐다
· 키울 역량: 공감 능력·윤리적 판단(AI가 대체하지 못해서), 리더십(AI보다 인간이 더 뛰어날 것 같아서)</t>
        </is>
      </c>
      <c r="E10" s="5" t="inlineStr">
        <is>
          <t>1-5에서 고른 관광가이드가 아닌 동물 관련 직업으로 분석함.</t>
        </is>
      </c>
      <c r="F10" s="5" t="inlineStr">
        <is>
          <t>직업명, 준비 1가지, 명함 업그레이드, 모둠 토론 미기재</t>
        </is>
      </c>
    </row>
    <row r="11" ht="166"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산업디자인학과(예체능) / 관심 대학: 한서대
· 학과 개요: 물리적인 제품을 넘어 사용자 경험과 서비스 디자인까지 확장해 현대 산업의 복잡한 요구를 해결
· 연결 포인트: '미술작품을 보는 것과 꾸미는 것을 좋아함'
· 고교 관련 과목: 미술 / 진출: 제품디자인팀, 디자인홍보팀
· 다짐: 관련 동아리 참여, 관련 학과 많이 찾아보기, 진학 정보 찾기</t>
        </is>
      </c>
      <c r="E11" s="5" t="inlineStr">
        <is>
          <t>1-4의 미술·디자인 관심과 연결됨.</t>
        </is>
      </c>
      <c r="F11" s="5" t="inlineStr">
        <is>
          <t>대학 주요 교과목, 자격증, 학과 전망 미기재</t>
        </is>
      </c>
    </row>
    <row r="12" ht="54"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학교장추천 모집 인원 칸에 '327'만 기재(오기로 보임)</t>
        </is>
      </c>
      <c r="E12" s="5" t="inlineStr"/>
      <c r="F12" s="5" t="inlineStr">
        <is>
          <t>사전 연습 나머지, 별점, step2 미기재</t>
        </is>
      </c>
    </row>
    <row r="13" ht="68"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학번·이름 포함 전체 미기재</t>
        </is>
      </c>
      <c r="E13" s="5" t="inlineStr">
        <is>
          <t>1학기 마무리 활동 미작성.</t>
        </is>
      </c>
      <c r="F13" s="5" t="inlineStr">
        <is>
          <t>전체 미기재</t>
        </is>
      </c>
    </row>
    <row r="14" ht="124"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2025학년도 컴퓨터공학
· 개인 평가: 학업·진로·공동체 모두 C&gt;B&gt;A
· 이유: 학업 '우월함', 진로 '확고함'(한 단어)
· 조별 예상 C&gt;A&gt;B → 실제 결과 C&gt;A&gt;B (완전 일치)
· 느낀 점: 엄지척 그림 / 배운 점: '의견을 잘 내자'</t>
        </is>
      </c>
      <c r="E14" s="5" t="inlineStr">
        <is>
          <t>예상 순위 완전 일치. 근거가 한 단어 수준으로 짧음.</t>
        </is>
      </c>
      <c r="F14" s="5" t="inlineStr">
        <is>
          <t>공동체 이유 미기재</t>
        </is>
      </c>
    </row>
    <row r="15" ht="290"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 ('with 김다경')
· 선택 이유: 평소 디자인에 관심이 많고 시각·공간·광고디자인 등의 진로를 생각하고 있어, 디자인이 사람과 사회에 어떤 영향을 주는지 알아보고 진로에 대한 이해를 넓히기 위해
· 관심 분야 3가지: 큐레이터, 공간디자이너, 패키지디자이너
· 그렇게 생각한 이유: 미술에 관심을 갖게 되면서 작품을 전시하고 공간을 구성하는 방법, 제품 포장 디자인에 흥미가 생김
· 잠정 탐구 주제: 미술과 디자인이 전시 및 제품에 활용되는 방법과 특징
· 주제 선택 이유: 여러 분야에서 디자인이 어떻게 활용되는지 궁금해서
· 8차시 계획: 2 미술·디자인 관련 직업 조사(조사계획) → 3 세 직업 관련 자료수집 → 4 세 직업 특징·역량 비교(심화탐구 자료) → 5 조사 내용 분석 → 6 탐구결과 발표자료 제작 → 7 의견 듣기(결과정리)
· 한 줄 다짐: 끈기 있게 끝까지 완성하겠다</t>
        </is>
      </c>
      <c r="E15" s="5" t="inlineStr">
        <is>
          <t>모든 항목을 성실히 작성했고 차시별 활동-산출물이 잘 대응됨. 자가 점검 3개 모두 체크.</t>
        </is>
      </c>
      <c r="F15" s="5" t="inlineStr">
        <is>
          <t>없음</t>
        </is>
      </c>
    </row>
    <row r="16" ht="150"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미술과 디자인은 전시와 SNS 광고에서 소비자의 구매 욕구를 어떻게 자극하는가?
· 하위 질문 ①: 미술과 디자인은 전시와 제품에 어떻게 활용되는가?
· 하위 질문 ②: SNS 광고 디자인은 소비자의 관심과 구매에 어떤 영향을 미치는가?
· 하위 질문 ③: 전시와 SNS 광고에 활용되는 디자인의 공통 특징은 무엇인가?
· 활용할 자료원: 관련 논문, 기사, 전시 사례, SNS 광고 사례</t>
        </is>
      </c>
      <c r="E16" s="5" t="inlineStr">
        <is>
          <t>1차시 본인 주제(전시·제품 디자인)에 짝 김다경의 관심(SNS 광고)을 결합해 공동 주제로 발전시킴. 짝과 활동지 내용 동일.</t>
        </is>
      </c>
      <c r="F16" s="5" t="inlineStr">
        <is>
          <t>없음</t>
        </is>
      </c>
    </row>
    <row r="17" ht="360"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5개 + 메모 (이름란 '김효신 with 김다경', 짝과 공동 작성)
· ① DBpia: 아름다운 인테리어·조명·전시물·그래픽 디자인 등이 관람객의 사진 촬영을 유도하며 SNS 공유에도 영향
· ② 한국디자인포럼(2025): 이미지 강조형 포스터는 가시성·주목성·기억성에서 높은 평가를, 타이포그래피형은 메시지 전달에 강점을 보임
· ③ 커뮤니케이션디자인학연구(2022): 편리한 동선과 매력적인 이미지·영상 콘텐츠는 관람객 경험을 높이고 SNS 공유를 유도함
· ④ 영남대학교 학위논문: 시각적인 변화와 상호작용은 관람객의 관심과 몰입을 높이고, 홍보·판매 전시에서는 브랜드 이미지 향상과 판매 촉진에 활용됨
· ⑤ 조형디자인연구: SNS의 이미지와 정보 특성은 소비자가 제품을 인식하고 구매를 결정하는 과정에 영향을 줌
· 메모: '미술관 디자인과 SNS 광고는 시각적 요소로 소비자의 관심과 감정을 자극해 구매 욕구를 높인다는 점이 흥미로웠다. 디자인이 소비자의 행동에 미치는 영향을 더 알아보고 싶다.'</t>
        </is>
      </c>
      <c r="E17" s="5" t="inlineStr">
        <is>
          <t>학술지·학위논문 5개로 2차시 하위 질문 ①~③(전시·SNS 광고·공통 특징)을 모두 뒷받침함. 짝 김다경과 활동지 내용이 같음(공동 작성으로 표시함).</t>
        </is>
      </c>
      <c r="F17" s="5" t="inlineStr">
        <is>
          <t>논문 제목·연도 일부 미기재(학술지명만 적음)</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10410 마시후)</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94"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진진가 퀴즈 답: 2번 / 선생님께: '1학년 진로 열심히 가르쳐 주세요'
· 자기소개 문제: 일본으로 자주 놀러 갔다 등(일부 판독 어려움)
· 질문지: 진로를 자신 있게 말할 수 있다·가족과 꿈 이야기 '매우 그렇다', 노력·공부 알고 노력 '그렇다', 상담 경험 '보통'
· 상담 상대: 교사 / 정보 탐색: 인터넷 / 노력: 진로 상담을 통한 탐색
· 어려움: 진로 체험 기회가 부족해서
· 약속: 적극 — '체험을 해봐야 알 수 있다'
· 깨달은 점: 선생님에 대해 자세히 알았음 / 다섯 글자: '열심히하자'</t>
        </is>
      </c>
      <c r="E5" s="5" t="inlineStr">
        <is>
          <t>진로 자신감·가족 대화가 높은 편. 체험 기회를 원함.</t>
        </is>
      </c>
      <c r="F5" s="5" t="inlineStr">
        <is>
          <t>중요 요소 미기재</t>
        </is>
      </c>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수능, 학생부 교과·학생부 종합, 최저학력, 5등급제·상위 10%, 수행+지필, 수행평가, 192학점, 희망 진로, 1학년 여름방학, 과정, 세부능력 및 특기사항, 수업 적극 참여, 자율·자치, 동아리, 행동특성 및 종합의견, 공통, 통합사회/통합과학, 내신, 역전, 주도성</t>
        </is>
      </c>
      <c r="E6" s="5" t="inlineStr">
        <is>
          <t>빈칸을 대부분 정확히 채움.</t>
        </is>
      </c>
      <c r="F6" s="5" t="inlineStr">
        <is>
          <t>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 및 내용 전체 미기재(빈 활동지)</t>
        </is>
      </c>
      <c r="E7" s="5" t="inlineStr">
        <is>
          <t>활동지를 작성하지 않음.</t>
        </is>
      </c>
      <c r="F7" s="5" t="inlineStr">
        <is>
          <t>전체 미기재</t>
        </is>
      </c>
    </row>
    <row r="8" ht="152"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1순위만 서술형으로 기재(대표 인물 김만덕, 관련 직업 항공교통 관련·사회단체활동가·창업가—일부 판독 어려움)
· 연상어: 리더십, 이타심, 예술적 감수성, 사교성, 유머, 창의성, 신중성, 용감성 / 강화 방안: '많이 놀기'
· MIT 희망 전공: 외국어문학, 기계·조선·항공, 의료 → 추천: 음악, 약학, 영상·공연
· 직무·가치 칸: 선호 직무 예술가형, 가치 칸에 직무 유형(글로벌형·돌봄형·연구가형)을 기재</t>
        </is>
      </c>
      <c r="E8" s="5" t="inlineStr">
        <is>
          <t>희망과 추천 전공이 모두 불일치. 가치 칸에 직무 유형을 적어 양식을 일부 오해함.</t>
        </is>
      </c>
      <c r="F8" s="5" t="inlineStr">
        <is>
          <t>강점 2·3순위, 일치 여부 성찰 미기재</t>
        </is>
      </c>
    </row>
    <row r="9" ht="110"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비행기 승무원, 항공교통관제사, 의료 관련 직업, 음악(작곡가·편곡가·싱어송라이터)
· 토너먼트 최종: 항공 승무원·조종사·관제사 계열
· 선택·포기 이유: 비행기를 타며 다양한 나라와 사람을 만날 수 있어서, 관제사는 부담이 크다는 취지 등(일부 판독 어려움)</t>
        </is>
      </c>
      <c r="E9" s="5" t="inlineStr">
        <is>
          <t>항공 분야 안에서 승무원·관제사·조종사를 오가며 고민.</t>
        </is>
      </c>
      <c r="F9" s="5" t="inlineStr">
        <is>
          <t>명함 미기재 / 이유 일부 판독 어려움</t>
        </is>
      </c>
    </row>
    <row r="10" ht="194"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파일럿
· AI 대체: 항로 및 연료 최적화, 빠르게 도착하도록 효율적으로 안내하는 일
· AI 협업: 비정상 상황 대응 지원, 정밀 이착륙 보조, 센서를 사용한 안전한 착륙
· 대체 불가: 승객 및 승무원 리더십(CRM) — '리더십을 할 수 있는 건 인간뿐이다'
· 체크: 'AI가 예상보다 더 많이 대체할 수 있었다'
· 새로 알게 된 점: 사람 목숨이 달린 정밀 이착륙을 AI가 도와준다는 것이 놀라웠다
· 키울 역량: 공감 능력, 소통·협업 능력, 현장 경험·직관</t>
        </is>
      </c>
      <c r="E10" s="5" t="inlineStr">
        <is>
          <t>CRM(승무원 자원관리) 개념까지 조사해 직무 이해가 구체적.</t>
        </is>
      </c>
      <c r="F10" s="5" t="inlineStr">
        <is>
          <t>역량 이유 일부 판독 어려움, 준비 1가지·명함·모둠 토론 미기재</t>
        </is>
      </c>
    </row>
    <row r="11" ht="194"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교통공학과 / 관심 대학: 경운대, 중부대, 국립한국교통대 등
· 학과 개요: 항공 질서·기상 상태·교통 관련 내용을 배움
· 연결 포인트: 순발력·판단력·책임감을 가지고 항공기를 빠르게 안내하는 일
· 고교 관련 과목: 영어, 수학, 과학, 체육 / 대학 주요 교과목: '모르겠음'
· 자격증: 항공교통관제사 / 진출: 항공관제사
· 학과 전망: 관제사는 공무원 신분이라 인원이 늘면 국가 재정 부담이 커 일자리가 급격히 늘기 어렵고 입사 경쟁이 치열하다
· 다짐: 영어 기초를 잘 잡아야 함</t>
        </is>
      </c>
      <c r="E11" s="5" t="inlineStr">
        <is>
          <t>직업 전망을 채용 구조까지 생각해 서술 — 분석이 깊음. 이 차시에서는 관제사를 목표로 함.</t>
        </is>
      </c>
      <c r="F11" s="5" t="inlineStr">
        <is>
          <t>대학 주요 교과목 미기재</t>
        </is>
      </c>
    </row>
    <row r="12" ht="96"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수정 흔적이 많으나 종합 서류종합평가·면접 40%+1단계 60%, 논술 학생부 30%(교과 20+출결 10)+논술 70% 등 기재
· 준비도 별점: 학생부 종합이 가장 높고(4개), 교과·실기·정시 3개, 논술 2개</t>
        </is>
      </c>
      <c r="E12" s="5" t="inlineStr"/>
      <c r="F12" s="5" t="inlineStr">
        <is>
          <t>step2(도전 대입 전형 설계) 전체 미기재</t>
        </is>
      </c>
    </row>
    <row r="13" ht="194"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파일럿 '부분 수정', 희망 학과 항공학과/공학 '그대로 유지', 목표 대학 한국항공대학교/항공계열 '그대로 유지'
· 유지 이유: '계속 파일럿이라는 항공기를 운항하고 싶었고 도전해 보고 싶어서'
· 최종 진로 목표: 항공계열 / 파일럿 / 항공학과 / 한국항공대
· 과목 선택 설계: 수학—대수, 확률과 통계, 미적분Ⅰ·Ⅱ, 기하 / 과학—물리학, 화학, 생명과학, 지구과학
· 대입 전형: 수시 학생부 교과, 정시 수능 / 2학기 집중 과제: 수학·과학
· 2학기 다짐: '더 나은 성적 만들겠다'</t>
        </is>
      </c>
      <c r="E13" s="5" t="inlineStr">
        <is>
          <t>1-5부터 최종까지 항공 분야로 일관(1-7 관제사 → 최종 파일럿으로 구체화). 이공계 과목 설계를 스스로 작성.</t>
        </is>
      </c>
      <c r="F13" s="5" t="inlineStr">
        <is>
          <t>국어·영어·사회·기타 과목 설계 미기재</t>
        </is>
      </c>
    </row>
    <row r="14" ht="138"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2025학년도 스마트시스템과학과
· 개인 평가: 학업 B&gt;A&gt;C, 진로 A&gt;C&gt;B
· 이유: 학업—A는 스스로 노력해 공부하고 선생님들과 의견을 공유한 느낌, C는 자신에 대해 너무 드러내는 느낌 / 진로—A는 한 분야에 몰두하는 느낌
· 조별 예상: A, 2순위 B·C 공동
· 느낀 점: '확실히 공부 잘하는 사람은 다 좋다' / 배운 점: '새롭게 다시 삶을 돌아본 기회였다'</t>
        </is>
      </c>
      <c r="E14" s="5" t="inlineStr">
        <is>
          <t>학생 간 인상을 비교하는 서술이 있으나 일부 판독이 어려움. 실제 결과 확인 칸이 비어 있음.</t>
        </is>
      </c>
      <c r="F14" s="5" t="inlineStr">
        <is>
          <t>공동체 역량 순위·이유, 실제 결과 미기재 / 이유 일부 판독 확인 필요</t>
        </is>
      </c>
    </row>
    <row r="15" ht="220"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 (활동지 상단에 짝 '엄시호' 이름 메모)
· 선택 이유: 평소 파일럿 직업에 관심이 많아 관련 분야를 경험하고 배워보며, 학습을 더 높여 진로 목표까지 도달하고 싶음(글씨가 예시 문구와 겹쳐 일부 판독 어려움)
· 관심 분야 3가지: 파일럿, 의학, 공무원
· 그렇게 생각한 이유: 해외여행을 자주 하면서 공항과 비행기의 다양한 기능에 흥미를 갖게 됨(일부 판독)
· 잠정 탐구 주제: 비행기 관련 과학·기능에 대한 주제로 보임(판독 어려움)
· 주제 선택 이유: 파일럿과 관련 있는 분야이고 비행기 기능이 바뀌는 것이 흥미로워서(일부 판독)
· 한 줄 다짐: '8차시 동안 … 성과를 내겠다'(일부 판독)</t>
        </is>
      </c>
      <c r="E15" s="5" t="inlineStr">
        <is>
          <t>파일럿이라는 진로 관심은 분명함. 예시 문구 위에 겹쳐 써서 상당 부분 판독이 어려움 — 원본 확인 권장.</t>
        </is>
      </c>
      <c r="F15" s="5" t="inlineStr">
        <is>
          <t>8차시 계획, 자가 점검 미기재 / 이유·잠정주제 판독 어려움(원본 확인 필요)</t>
        </is>
      </c>
    </row>
    <row r="16" ht="136"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파일럿은 우주방사선과 어떤 건강 문제에 미치는가 (→ 우주방사선이 파일럿의 건강에 미치는 영향을 묻는 의도로 보임)
· 하위 질문 ①: 파일럿은 기본 몇 시간 비행하는가
· 하위 질문 ②: 파일럿은 어떠한 건강 문제에 노출되었는가
· 하위 질문 ③: 파일럿은 어떠한 이수 과정을 겪는가
· 활용할 자료원: 국민원격교육관리센터(?)·블로그, 한국항공운항학회지</t>
        </is>
      </c>
      <c r="E16" s="5" t="inlineStr">
        <is>
          <t>1차시보다 주제가 '우주방사선과 파일럿 건강'으로 구체화됨. 학회지를 자료원으로 제시한 점이 좋음. 핵심 질문 문장 다듬기와 하위 질문 ③(이수 과정)이 핵심 질문과 연결되도록 지도 필요.</t>
        </is>
      </c>
      <c r="F16" s="5" t="inlineStr">
        <is>
          <t>핵심 질문 문장이 어색함, 자료원 일부 판독 어려움</t>
        </is>
      </c>
    </row>
    <row r="17" ht="360"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5개 + 메모 (필체가 흘려 쓰여 일부 판독 어려움)
· ① 동아일보: 파일럿 질병 연구 결과, 방사선 암으로 인한 사망자가 6.7% 높아짐(판독 추정)
· ② 블로그(국토부 지정 항공검진 연세건강증진내과): 파일럿은 불규칙한 근무와 시차, 우주방사선으로 극심한 스트레스를 받으며 만성피로를 겪기도 함
· ③ koreatimes.com: 파일럿은 정신질환을 겪기도 해 다양한 심리 치료를 받기도 함. 이를 숨기기도 하지만 모두의 안전을 위해 양심 있게 건강을 챙기는 게 좋을 것 같음
· ④ 국민원격교육관리센터 교육과정: 파일럿 이수 과정에서는 다양한 면허를 준비하며, 다양한 교육과정과 실습을 거쳐 훌륭한 인재가 될 수 있음
· ⑤ 나무위키: 파일럿은 근로자(회사원)로 일하며 급여를 받음. 항공사에서 일하는 직업은 자부심을 갖고 일할 수 있음
· 메모: '안전과 책임감을 다해 일하면 잘할 수 있을 거다'</t>
        </is>
      </c>
      <c r="E17" s="5" t="inlineStr">
        <is>
          <t>2차시 탐구 질문(우주방사선과 파일럿 건강)에 맞는 자료 ①~③과 이수 과정(하위 질문 ③) 자료 ④를 모음. 자료 수는 충분하지만 블로그·나무위키 출처가 섞여 있어, 2차시에 적었던 한국항공운항학회지 같은 학술 자료로 보완하도록 안내 필요.</t>
        </is>
      </c>
      <c r="F17" s="5" t="inlineStr">
        <is>
          <t>요약 문장 일부 판독 어려움(원본 확인 필요) / 자료 ①·③ 기사 제목 미기재</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10411 신소연)</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66"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진진가 퀴즈 답: 2번
· 자기소개 문제: 최애 과목은 수학이다 / 꿈은 운동선수이다(정답 표시) / MBTI는 ENTJ이다
· 질문지: 진로를 말할 수 있다·공부 알고 노력 '그렇다', 꿈을 위해 노력·가족과 대화 '보통', 상담 경험 '매우 그렇지 않다'
· 상담 상대: 교사 / 중요 요소: 학업 성적 / 정보 탐색: 인터넷 / 노력: 진로 상담을 통한 탐색
· 진로 결정 어려움: 기타('성적')
· 약속: 적극 / 다섯 글자: '잘할수있어'</t>
        </is>
      </c>
      <c r="E5" s="5" t="inlineStr">
        <is>
          <t>진로 결정의 가장 큰 요소와 어려움을 모두 '성적'으로 꼽음 — 2-2에서도 내신 걱정을 적어 성적 부담이 여러 차시에 걸쳐 나타남.</t>
        </is>
      </c>
      <c r="F5" s="5" t="inlineStr">
        <is>
          <t>원하는 진로활동(지운 흔적), 약속 이유, 깨달은 점 미기재</t>
        </is>
      </c>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수능, 교과·학종, 최저, 5등급제·상위 10%, 수행+지필, 수행평가, 192학점, 희망 진로, 1학년 여름방학, 과정, 세부능력 및 특기사항, 자율·자치/동아리, 행동특성 및 종합의견, 공통, 통합사회/통합과학, 생기부, 역전, 주도성
· 다짐: '열심히 공부할 것이다'</t>
        </is>
      </c>
      <c r="E6" s="5" t="inlineStr">
        <is>
          <t>대부분 정확. 세특을 채우는 태도 칸은 영상 내용과 다르게 적음.</t>
        </is>
      </c>
      <c r="F6" s="5" t="inlineStr"/>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 및 내용 전체 미기재(빈 활동지)</t>
        </is>
      </c>
      <c r="E7" s="5" t="inlineStr">
        <is>
          <t>활동지를 작성하지 않음.</t>
        </is>
      </c>
      <c r="F7" s="5" t="inlineStr">
        <is>
          <t>전체 미기재</t>
        </is>
      </c>
    </row>
    <row r="8" ht="222"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①끈기(세종대왕) ②계획성(벤자민 프랭클린) ③(판독 어려움, 김만덕)
· 핵심 강점 '끈기' 연상어: 숙제, 자기주도학습, 노력, 인내심, 완성, 포기X, 열정, 성취감 / 강화 방안: '포기하지 않는다'
· MIT 희망 전공: 초·중등교육, 무용·체육, 수학·물리 → 추천: 무용·체육(운동선수·스포츠트레이너), 바이오·화학(생물학연구원), 음악(가수)
· 선호 계열: 예체능
· 불일치 해석: '내 미래를 위해서는 희망 전공처럼 선택해야 하는데, 추천 전공은 내가 진짜로 하고 싶은 것 같다. 하지만 추천 전공에서 1·3위는 지금 시작하기에는 너무 늦은 것 같다'
· 선호 직무: 아이디어형 / 직업 가치: 사회적 인정 &gt; 안정성 &gt; 창의성</t>
        </is>
      </c>
      <c r="E8" s="5" t="inlineStr">
        <is>
          <t>'진짜 하고 싶은 것'(체육·음악)과 '미래를 위한 선택'을 구분하고, 하고 싶은 쪽은 '너무 늦었다'고 판단함 — 진로 상담 시 우선 다뤄 볼 만한 서술.</t>
        </is>
      </c>
      <c r="F8" s="5" t="inlineStr">
        <is>
          <t>3순위 강점 판독 어려움</t>
        </is>
      </c>
    </row>
    <row r="9" ht="96"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체육교사, 생물학연구원, 수학교사, 약사 — 하는 일·필요 능력·관련 학과 작성
· 토너먼트 최종: 체육교사 (선택 이유: '적성과 흥미에 맞아서')
· 수학교사 선택·포기 이유: 일부 판독 어려움</t>
        </is>
      </c>
      <c r="E9" s="5" t="inlineStr">
        <is>
          <t>운동선수(1-1)·체육(1-4)에 대한 관심이 '체육교사'로 이어짐.</t>
        </is>
      </c>
      <c r="F9" s="5" t="inlineStr">
        <is>
          <t>명함 미기재 / 수학교사 관련 이유 판독 어려움</t>
        </is>
      </c>
    </row>
    <row r="10" ht="166"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교사(내용상)
· AI 대체: 시험 채점·문제 관리, 학습 자료 정리, 학생 학습 분석
· AI 협업: 개별 맞춤 수업 설계, 수업 콘텐츠 제작, 학습 상담 보조
· 대체 불가: 학생의 감정 이해와 공감, 인성·가치관 교육, 교실 분위기와 인간관계 형성
· 체크: 'AI가 예상보다 더 많이 대체할 수 있었다'
· 키울 역량: 공감 능력(학생 상담에 필요), 리더십(선생님이니까), 판단력(상황 판단)</t>
        </is>
      </c>
      <c r="E10" s="5" t="inlineStr">
        <is>
          <t>1-5의 체육교사 선택과 연결된 교사 직무 분석.</t>
        </is>
      </c>
      <c r="F10" s="5" t="inlineStr">
        <is>
          <t>놀란 점 한 줄, 준비 1가지, 명함 업그레이드, 모둠 토론 미기재</t>
        </is>
      </c>
    </row>
    <row r="11" ht="180"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생명공학과, 식품공학과 / 관심 대학: 경희대
· 학과 개요: 생명과학 역량을 갖추고 국가 과학기술 발전에 선도적 역할을 할 전문 인재 양성
· 연결 포인트: '과학은 생명과학을 좋아하고 수학을 좋아한다'
· 고교 관련 과목: 생명과학, 수학
· 자격증: 생물공학기사, 생물분류기사 / 진출: 화장품 업체, 생명공학 연구소, 질병관리청, 식품 생명공학자, 생물학연구원
· 다짐: 수학·과학을 열심히 공부하기, 지속가능한 식품영양 관련 주제를 탐구해 보기</t>
        </is>
      </c>
      <c r="E11" s="5" t="inlineStr">
        <is>
          <t>1-5·1-6의 체육교사·교사와 달리 생명공학을 탐색 — 1-4의 '바이오·화학' 추천 결과와 연결됨. 진로가 체육·교육·생명과학 사이에서 아직 탐색 중.</t>
        </is>
      </c>
      <c r="F11" s="5" t="inlineStr">
        <is>
          <t>대학 주요 교과목, 학과 전망 미기재</t>
        </is>
      </c>
    </row>
    <row r="12" ht="82"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4명·학생부교과+교과 관련 서류평가, 종합 9명·면접 40%+1단계 성적 60%, 논술 5명·교과 20%+출결 10%+논술 70%·최저 기준 기재
· 준비도 별점: 대부분 2~3개, 정시는 1개</t>
        </is>
      </c>
      <c r="E12" s="5" t="inlineStr"/>
      <c r="F12" s="5" t="inlineStr">
        <is>
          <t>정시 사전 연습, step2(도전 대입 전형 설계) 미기재</t>
        </is>
      </c>
    </row>
    <row r="13" ht="68"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학번·이름 포함 전체 미기재</t>
        </is>
      </c>
      <c r="E13" s="5" t="inlineStr">
        <is>
          <t>1학기 마무리 활동 미작성 — 체육·교육·생명과학 중 최종 방향을 개별 확인할 필요가 있음.</t>
        </is>
      </c>
      <c r="F13" s="5" t="inlineStr">
        <is>
          <t>전체 미기재</t>
        </is>
      </c>
    </row>
    <row r="14" ht="180"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2024학년도 첨단융합학부
· 개인 평가: 학업 C&gt;A&gt;B, 진로 B&gt;C&gt;A, 공동체 A&gt;B&gt;C
· 이유: 학업—'C의 내신이 압도적으로 높기 때문'
· 조별 예상 A&gt;C&gt;B → 실제 결과 A&gt;C&gt;B (완전 일치)
· 느낀 점: 'A·B·C는 우수한 성적으로 대학을 갔는데 현재 애매한 내 내신으로 대학을 갈 수 있을지 궁금하다'
· 배운 점: '생기부를 이런 형태로 채워 준다는 것'</t>
        </is>
      </c>
      <c r="E14" s="5" t="inlineStr">
        <is>
          <t>자신의 내신에 대한 걱정을 직접 표현 — 상담 시 참고.</t>
        </is>
      </c>
      <c r="F14" s="5" t="inlineStr">
        <is>
          <t>진로·공동체 이유 미기재</t>
        </is>
      </c>
    </row>
    <row r="15" ht="262"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습관형성 ([O] 표시) — 그러나 A(주제탐구)·B(진로독서)·C(습관형성)란을 모두 작성
· 선택 이유: 진로는 대략 정했지만 그 진로를 가기 위해 현재 성적을 더 올려야 해서, 공부 습관을 기르고 규칙적인 생활을 하고 싶음
· A란(진로연계형 체크): 관심 수학교사·수학·연구원 / 학원에서 수학 선생님을 보고 멋있다고 느꼈고, 연구원처럼 새로운 것을 만들고 싶기도 함(일부 판독) / 잠정 주제 '수학교사가 되기 위한 과정과 좋은 수학교사가 갖추어야 할 역량' / 과학 쪽 진로는 알아봤으니 이번엔 수학 쪽 진로를 알고 싶었음
· B란: 진로 이외 관련 정보를 얻기 위해 / 선정 기준: 관심 분야 등 / 후보 도서 'X'
· C란: 닮고 싶은 사람 정승제 - '너무 잘 가르침' / 습관을 만들면 그 습관이 결국 나의 미래를 결정짓기 때문 / 개선할 습관: 스마트폰 자제, 공부 시간 늘리기, 벼락치기 금지
· 한 줄 다짐: 예시 문구에 '나도!' 표시</t>
        </is>
      </c>
      <c r="E15" s="5" t="inlineStr">
        <is>
          <t>세 트랙을 모두 채워 최종 트랙 선택을 망설인 것으로 보임. '수학교사' 진로 관심이 새롭게 등장(1학기 기록과 비교해 볼 필요).</t>
        </is>
      </c>
      <c r="F15" s="5" t="inlineStr">
        <is>
          <t>8차시 계획 미기재, 자가 점검 1개만 체크</t>
        </is>
      </c>
    </row>
    <row r="16" ht="192"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(1차시엔 습관형성을 체크했으나 2차시는 주제탐구 활동지로 작성)
· 핵심 탐구 질문: 배터리 사용 증가는 환경과 자원문제에 어떤 영향을 미치는가?
· 하위 질문 ①: 배터리의 특징(종류)은 무엇인가?(일부 판독)
· 하위 질문 ②: 배터리 생산량은 왜 계속 증가하는가? (처음 쓴 질문은 지움)
· 하위 질문 ③: 배터리 생산량이 증가하면 앞으로 어떤 변화가 예상되는가? (처음 쓴 '생산량과 폐배터리 발생량의 관계를 수치로 나타낼 수 있는가'는 지움)
· 활용할 자료원: 과학교과서, 배터리 관련 연구자료 등</t>
        </is>
      </c>
      <c r="E16" s="5" t="inlineStr">
        <is>
          <t>트랙이 습관형성 → 주제탐구로 바뀌었고, 주제도 1차시 A란의 '수학교사'가 아닌 '배터리와 환경'으로 달라짐. 최종 트랙·주제 확정 여부 확인 필요. 지운 하위 질문 ③(수치화)이 오히려 탐구성이 높았음.</t>
        </is>
      </c>
      <c r="F16" s="5" t="inlineStr">
        <is>
          <t>트랙 변경 확인 필요</t>
        </is>
      </c>
    </row>
    <row r="17" ht="271"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3개 + 메모
· ① 배터리인사이드: '양극재, 음극재, 리튬'(단어만 적음)
· ② LinkedIn: 활용률을 높여야 하고, 치열한 가격 전쟁, 재정적 압박 증가 등
· ③ LinkedIn: 기계가 실시간으로 코팅 두께를 조정해 재료 낭비를 줄이고, 공정 시간 80% 감소·저장 공간 절약·인건비 절감 등(일부 판독 어려움)
· 메모: '단지 AI 같은 대중적으로 알려진 과학기술만이 미래를 발전시키는 줄 알았는데, 이 조그만 배터리 같은 소재도 미래 변화에 큰 영향을 미친다는 걸 알았다'</t>
        </is>
      </c>
      <c r="E17" s="5" t="inlineStr">
        <is>
          <t>2차시에 바꾼 주제(배터리 사용 증가와 환경·자원 문제)로 계속 진행 중이고, 메모에서 새로운 관심이 생긴 것이 드러남. 다만 출처가 사이트 이름뿐이고 요약이 단어 나열이라, 기사 제목을 적고 문장으로 요약하도록 지도 필요. 환경·자원 문제(탐구 질문의 핵심)를 다룬 자료는 아직 없음.</t>
        </is>
      </c>
      <c r="F17" s="5" t="inlineStr">
        <is>
          <t>자료 ④·⑤ 미기재 / 출처에 기사 제목 없음 / 자료 ① 요약이 단어 나열</t>
        </is>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10412 엄시호)</t>
        </is>
      </c>
    </row>
    <row r="2">
      <c r="A2" s="2" t="inlineStr">
        <is>
          <t>※ 활동지 스캔본(PDF)을 바탕으로 정리. 필체 판독이 어렵거나 학생이 미기재한 항목은 '판독 어려움/미기재'로 표기함. 이번 스캔본에 포함되지 않은 차시: 1-3.</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208"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자기소개 문제: 1번만 기재(판독 어려움)
· 질문지: 진로를 말할 수 있다·공부 알고 노력 '보통', 꿈을 위해 노력 '그렇지 않다', 가족과 꿈 이야기·상담 경험 '매우 그렇지 않다'
· 상담 상대: 기타('없음') / 노력: 기타('안 함')
· 중요 요소·정보 탐색: 기타 칸에 번호를 조합해 적음(예: 부모님 의견+돈+학업 성적으로 보임)
· 진로 결정 어려움: 기타('돈')
· 원하는 진로활동: '없음' / 깨달은 점: '없음'
· 약속: 완벽·존중·집중 체크, 존중 이유 '사람에게 제일 중요해서'
· 다섯 글자: '잘넘겨보자'</t>
        </is>
      </c>
      <c r="E5" s="5" t="inlineStr">
        <is>
          <t>진로 상담 경험이 없고 진로 노력도 '안 함'으로 답함. 진로 결정의 어려움으로 '돈'을 직접 적음 — 사실만 기록하며, 상담 시 부담 없이 확인해 볼 만함.</t>
        </is>
      </c>
      <c r="F5" s="5" t="inlineStr">
        <is>
          <t>자기소개 2·3번 미기재, 1번 판독 어려움, 기타 칸 번호 조합 해석 확인 필요</t>
        </is>
      </c>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전부 작성: 수능, 교과·학생부 종합, 최저, 5등급제·상위 10%, 지필+수행, 수행평가, 192학점, 진로, 1학년 여름방학, 과정, 과목별 세부능력 및 특기사항, 수업에 적극적으로 참여, 자율/동아리, 행동특성 및 종합의견, 공통, 통합사회/통합과학, 생기부, 역전, 주도성</t>
        </is>
      </c>
      <c r="E6" s="5" t="inlineStr">
        <is>
          <t>빈칸을 모두 정확히 채움.</t>
        </is>
      </c>
      <c r="F6" s="5" t="inlineStr">
        <is>
          <t>앞면 학번·이름, 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이번 스캔본에 해당 차시 활동지가 포함되어 있지 않음</t>
        </is>
      </c>
      <c r="E7" s="5" t="inlineStr"/>
      <c r="F7" s="5" t="inlineStr">
        <is>
          <t>1-3 활동지 없음(원본 확인 필요)</t>
        </is>
      </c>
    </row>
    <row r="8" ht="222"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①도덕성(임마누엘 칸트) ②원만성(넬슨 만델라) ③개방성(파블로 피카소)
· 핵심 강점 '도덕성' 연상어: 태도, 규칙, 예의, 존중, 예절, 질서, 법
· 강화 방안: '누가 보지 않아도 스스로에게 떳떳하게 살기'
· MIT 희망 전공: 경영·경제, 전기·전자·컴퓨터, 기계·조선·항공 → 추천: 전기·전자·컴퓨터, 영상·공연, 음악
· 선호 계열: 공학계열
· 불일치 해석: '희망 전공은 돈을 위한 직업들을 적었고, 추천 전공은 진짜 내가 좋아하는 것을 골라서 일치하지 않은 것 같다'
· 선호 직무: 아이디어형 / 직업 가치: 경제적 풍족 &gt; 안정성 &gt; 창의성</t>
        </is>
      </c>
      <c r="E8" s="5" t="inlineStr">
        <is>
          <t>'돈을 위한 선택'과 '좋아하는 것'(음악·영상)을 스스로 구분해 성찰함. 강화 방안 서술이 진정성 있음.</t>
        </is>
      </c>
      <c r="F8" s="5" t="inlineStr"/>
    </row>
    <row r="9" ht="124"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가수, 작곡가, 전자공학 기술자, 방송작가 — 작곡가·전자공학 기술자·방송작가는 하는 일·관련 학과를 상세히 작성
· 토너먼트 최종: 가수 (선택 이유: '노래 부르는 것을 좋아해서')
· 전자공학 기술자 선택 이유: 기계 관련된 것에 관심이 많아서 / 포기 이유: 공부를 많이 해야 해서(일부 판독)</t>
        </is>
      </c>
      <c r="E9" s="5" t="inlineStr">
        <is>
          <t>1-4에서 '진짜 좋아하는 것'이라 한 음악 쪽(가수)을 최고 관심 직업으로 선택.</t>
        </is>
      </c>
      <c r="F9" s="5" t="inlineStr">
        <is>
          <t>가수 칸 하는 일·필요 능력, 명함 미기재</t>
        </is>
      </c>
    </row>
    <row r="10" ht="264"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전자공학 기술자(회로 설계 분야)
· AI 대체: 반복적인 회로 설계 및 PCB 설치, 시뮬레이션·테스트 자동 분석, 기술 문서 및 코드 생성
· AI 협업: 반도체·전자 시스템 아키텍처 설계, 임베디드·로봇·IoT 개발, 스마트 제조 및 유지보수
· 대체 불가: 실제 제품을 만드는 창의적 통합 능력, 현장 문제 해결 능력, 팀 협업과 의사결정
· 체크: 'AI가 예상보다 더 많이 대체할 수 있었다'
· 새로 알게 된 점: AI가 PCB 설치, 기술 문서·코드 분석, 시뮬레이션 등을 알아서 할 수 있다는 것에 놀랐다
· 키울 역량: 기본 코딩(전자공학 기술에 기본적인 코딩 정도는 알아야 해서), 창의적 제품 기획(10년 뒤에도 인간만 할 수 있는 영역이라서), 데이터 분석</t>
        </is>
      </c>
      <c r="E10" s="5" t="inlineStr">
        <is>
          <t>직무 분석이 구체적. 1-5 최종 선택(가수)이 아닌 전자공학 기술자로 분석함.</t>
        </is>
      </c>
      <c r="F10" s="5" t="inlineStr">
        <is>
          <t>준비 1가지, 명함 업그레이드, 모둠 토론 미기재</t>
        </is>
      </c>
    </row>
    <row r="11" ht="222"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행정학과 / 관심 대학: 연세대
· 학과 개요: 창의적 기획·관리 능력, 합리적 문제 해결 능력, 능동적 변화 대응 능력, 건실한 업무 수행 능력을 갖춘 인재 양성
· 연결 포인트: '무슨지 안전한 걸 좋아함 → 직업의 안정성과 연결'
· 자격증: 일반행정사, 기술행정사, 외국어번역행정사, 법무사, 변리사, 세무사, 공인노무사, 공인회계사, 관세사, 행정관리사, 정책분석평가사, 사회조사분석사, 컴퓨터활용능력, 워드프로세서 등
· 진출: 기업체, 연구기관, 정부 및 공공기관, 교육계
· 다짐: '행정직·세무직·교육행정직·검찰 사무직 공무원 중 무엇을 할지 정하고 그에 맞는 공부를 한다'</t>
        </is>
      </c>
      <c r="E11" s="5" t="inlineStr">
        <is>
          <t>자격증·진출 분야를 폭넓게 조사. 음악·전자공학에서 '안정성' 중심의 행정·공무원으로 방향을 바꿈.</t>
        </is>
      </c>
      <c r="F11" s="5" t="inlineStr">
        <is>
          <t>고교 관련 과목, 대학 주요 교과목, 학과 전망 미기재</t>
        </is>
      </c>
    </row>
    <row r="12" ht="110"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 70%+교과 관련 서류종합평가 30%·미적용 / 종합 9명·서류종합평가 100%, 면접 40%+1단계 60%·미적용 / 논술 5명·논술 70%+학생부 30%(교과 20+출결 10)·적용 / 정시 9명·수능 80%+학생부 평가 20%·미적용
· 준비도 별점: 교과 2개, 나머지 모두 1개</t>
        </is>
      </c>
      <c r="E12" s="5" t="inlineStr">
        <is>
          <t>사전 연습 표를 정확하게 작성. 전 전형 준비도를 매우 낮게 자평.</t>
        </is>
      </c>
      <c r="F12" s="5" t="inlineStr">
        <is>
          <t>step2(도전 대입 전형 설계) 전체 미기재</t>
        </is>
      </c>
    </row>
    <row r="13" ht="208"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공무원, 희망 학과 행정학과, 목표 대학 연세대·사회계열 모두 '그대로 유지' / 유지 이유: '이게 제일 나은 것 같아서'
· 최종 진로 목표: 사회계열 / 공무원 / 행정학과 / 연세대
· 과목 연결 포인트: 국어—공문서 작성·의사소통 능력, 수학—자료 분석 능력, 영어—국제 업무·외국인 민원 응대, 사회—법과 행정·사회제도, 과학—분석 능력 키우기, 기타—한국사·공공 의식 등
· 대입 전형: 수시 학생부 종합, 정시 수능 / 2학기 집중 과제: 국어, 영어, 한국사
· 2학기 다짐: '앞으로 공부 열심히 하기'</t>
        </is>
      </c>
      <c r="E13" s="5" t="inlineStr">
        <is>
          <t>5차시 최고 관심 직업을 '공무원 그대로 유지'로 적었으나 실제 1-5 선택은 '가수'였음 — 기록 불일치. 진로가 가수(1-5) → 전자공학(1-6) → 공무원(1-7·최종)으로 바뀌었고, 유지 이유가 '제일 나은 것 같아서'로 소극적임. 1-4의 '돈을 위한 선택 vs 좋아하는 것' 성찰과 함께 상담에서 다뤄 볼 만함.</t>
        </is>
      </c>
      <c r="F13" s="5" t="inlineStr">
        <is>
          <t>과목 연결 포인트는 작성했으나 선택할 과목명 칸 미기재</t>
        </is>
      </c>
    </row>
    <row r="14" ht="110"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학번·이름만 흐리게 기재, 평가·순위·느낀 점 모두 미기재</t>
        </is>
      </c>
      <c r="E14" s="5" t="inlineStr">
        <is>
          <t>활동 미참여로 보임 — 확인 필요.</t>
        </is>
      </c>
      <c r="F14" s="5" t="inlineStr">
        <is>
          <t>전체 미기재</t>
        </is>
      </c>
    </row>
    <row r="15" ht="122"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 (활동지 상단에 짝 '마시후' 이름 메모)
· 선택 이유: 진로가 확실하게 공무원 쪽으로 잡혀 있고, 조사·분석·PPT 제작 등을 하는 게 나중에 공무원이 될 때 도움이 될 것 같아서
· 관심 분야 3가지: 공무원, 가수, 일반행정직
· 그렇게 생각한 이유: '오로지 편하게 벌 수 있고 안정적인 직업이라 골랐다'</t>
        </is>
      </c>
      <c r="E15" s="5" t="inlineStr">
        <is>
          <t>공무원 진로가 확고하다고 밝힘. 직업 선택 근거가 '편하고 안정적'에 머물러 있어, 공무원의 실제 직무·역할 탐색으로 확장하도록 지도하면 좋겠음.</t>
        </is>
      </c>
      <c r="F15" s="5" t="inlineStr">
        <is>
          <t>잠정 탐구 주제·주제 선택 이유, 8차시 계획, 한 줄 다짐, 자가 점검 미기재</t>
        </is>
      </c>
    </row>
    <row r="16" ht="108"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미래에는 공무원이 어떻게 변하는가
· 하위 질문 ①: 미래에는 시대가 어떻게 변하는가?
· 하위 질문 ②: 미래에도 공무원이 필요한가?
· 하위 질문 ③: 미래에도 공무원이 필요하다면 어떻게 쓰이는가?
· 활용할 자료원: 언론 기사 1건(매체·기자명 일부 판독 어려움)</t>
        </is>
      </c>
      <c r="E16" s="5" t="inlineStr">
        <is>
          <t>1차시 공무원 관심이 '미래 공무원의 변화'로 주제화됨. 하위 질문이 넓고 추상적이어서(예: 시대가 어떻게 변하는가) 'AI·디지털 행정' 등 구체적 범위로 좁히는 지도 필요.</t>
        </is>
      </c>
      <c r="F16" s="5" t="inlineStr">
        <is>
          <t>자료원 1건뿐, 일부 판독 어려움</t>
        </is>
      </c>
    </row>
    <row r="17" ht="360"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5개 + 메모
· ① 테크42: 전문가들이 예측한 세계의 변화 8가지 — AI가 지도자 역할로 인류를 통치할 수도, 몸 안에 칩 이식, AI 덕분에 사후에도 살 수 있음, AI 개인 맞춤 TV쇼, 학생들이 컴퓨터에 마음을 업로드, AI 안경, 지적 외계인 발견 등(여백까지 이어 씀)
· ② 한국교통저널(박래현 기자): AI 시대에 기계를 늘리며 관리자를 더 늘려 공무원이 더 생기는 것은 막지 않을까
· ③ 중앙경제(최인석 취재본부장 대기자): 공무원들이 시키는 일만 하며 공직사회가 복지부동이 됨. AI 시대에 안정성만 따지는 이러한 행정문화는 문제가 됨
· ④ 정책브리핑(인사혁신처): 미래 정부를 이끌 공직 인재의 선발·관리 등에 대한 과제를 제시
· ⑤ 정책브리핑: 빅데이터·사물인터넷·인공지능 등 첨단기술의 일상화와 저출산·고령화 심화, 다문화 등 미래 환경 변화가 정부에 줄 영향과 대응
· 메모: '미래에도 공무원은 할 만한 거 같다'</t>
        </is>
      </c>
      <c r="E17" s="5" t="inlineStr">
        <is>
          <t>2차시에 자료원이 1건뿐이었는데 이번엔 정부 정책브리핑을 포함해 5개로 크게 보완함. 자료 ③(안정성만 따지는 행정문화는 문제)은 1차시에 밝힌 선택 이유('편하고 안정적인 직업')와 대비되는데, 메모는 '할 만한 것 같다'에 머물러 있어 이 차이를 스스로 생각해 보도록 질문해 주면 좋겠음.</t>
        </is>
      </c>
      <c r="F17" s="5" t="inlineStr">
        <is>
          <t>자료 ① 요약이 탐구 질문과 거리가 먼 미래 예측 나열</t>
        </is>
      </c>
    </row>
  </sheetData>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10413 유영하)</t>
        </is>
      </c>
    </row>
    <row r="2">
      <c r="A2" s="2" t="inlineStr">
        <is>
          <t>※ 활동지 스캔본(PDF)을 바탕으로 정리. 필체 판독이 어렵거나 학생이 미기재한 항목은 '판독 어려움/미기재'로 표기함. p-3 활동지 묶음에는 이 학생의 활동지가 없었음(결석·미제출 확인 필요).</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94"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자기소개 문제: 게임 관련 / 강아지를 키운다 / 제주도 관련(일부 판독 어려움)
· 질문지: 진로를 말할 수 있다 '그렇다', 가족과 대화·공부 알고 노력·상담 경험 '보통'
· 상담 상대: 교사 / 중요 요소: 학업 성적 / 정보 탐색: 진로 상담 / 노력: 틈틈이 정보 수집
· 어려움: 생각하는 진로가 너무 많아 선택이 어려움
· 약속: 존중 — '친구의 생각을 존중해야 된다고 생각하기 때문'
· 깨달은 점: 선생님에 대해 더 알게 되었고 진로 시간에 여러 가지를 한다는 것을 알게 됨 / 다섯 글자 칸 작성</t>
        </is>
      </c>
      <c r="E5" s="5" t="inlineStr">
        <is>
          <t>여백에 수업 중 메모·낙서가 많음. 진로 후보가 많아 선택이 어렵다고 응답.</t>
        </is>
      </c>
      <c r="F5" s="5" t="inlineStr">
        <is>
          <t>진진가 퀴즈, 원하는 진로활동 미기재 / '꿈을 위해 노력' 문항 체크 판독 어려움</t>
        </is>
      </c>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수능, 교과·종합, 최저, 5등급제·상위 10%, 지필+수행, 수행평가, 192학점, 진로, 1학년 여름방학, 과정, 세부능력 및 특기사항, 수업에 적극적으로, 자율·자치/동아리, 행동특성 및 종합의견, 공통, 통합사회/통합과학, 역전, 주도성</t>
        </is>
      </c>
      <c r="E6" s="5" t="inlineStr">
        <is>
          <t>빈칸을 대부분 정확히 채움.</t>
        </is>
      </c>
      <c r="F6" s="5" t="inlineStr">
        <is>
          <t>6번 마지막 문항 일부, 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학번·이름만 기재, 내용 전체 미기재</t>
        </is>
      </c>
      <c r="E7" s="5" t="inlineStr">
        <is>
          <t>활동지를 작성하지 않음.</t>
        </is>
      </c>
      <c r="F7" s="5" t="inlineStr">
        <is>
          <t>전체 미기재</t>
        </is>
      </c>
    </row>
    <row r="8" ht="180"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①도덕성(임마누엘 칸트) ②적극성(김만덕) ③끈기(세종대왕)
· 핵심 강점 '도덕성' 연상어: 배려, 규칙, 존중, 봉사 / 강화 방안: '게임을 줄이고, 봉사를 한다'
· MIT 희망 전공: 전기·전자·컴퓨터, 천문·지구, 농림·축산 → 추천: 천문·지구, 전기·전자·컴퓨터, 간호·보건
· 선호 계열: 자연계열 / 일치 여부: '어느 정도 맞는 것 같다'
· 선호 직무: 돌봄형 / 직업 가치: 사회적 인정·경제적 풍족·안정성(수정 흔적)</t>
        </is>
      </c>
      <c r="E8" s="5" t="inlineStr">
        <is>
          <t>희망과 추천이 2개(전기·전자·컴퓨터, 천문·지구) 일치 — 이후 기상연구원(천문·지구)과 기계공학(공학) 사이에서 고민한 흐름과 연결됨.</t>
        </is>
      </c>
      <c r="F8" s="5" t="inlineStr">
        <is>
          <t>직업 가치 칸 수정 흔적으로 순위 판독 어려움</t>
        </is>
      </c>
    </row>
    <row r="9" ht="166"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기상연구원, 생물학연구원, 식품공학자, 기계공학기술자 — 하는 일·필요 능력·관련 학과를 충실히 작성
· 토너먼트 최종: 기계공학기술자(기상연구원에서 수정) — 선택 이유: '기상보다는 기계에 대한 흥미가 있다'
· 기상연구원 선택 이유: 지구의 기후 변화에 흥미가 있고 비·눈이 왜 오는지 궁금해서 / 기계공학기술자 선택 이유: 기계에 관심이 있어서
· 미래 명함: '기상연구원 — 기상에 대한 호기심이 많은' (토너먼트 수정 전 작성으로 보임)</t>
        </is>
      </c>
      <c r="E9" s="5" t="inlineStr">
        <is>
          <t>토너먼트 중 최종 직업을 기상연구원에서 기계공학기술자로 바꿈 — 명함은 기상연구원으로 남아 있음.</t>
        </is>
      </c>
      <c r="F9" s="5" t="inlineStr">
        <is>
          <t>명함 문구 일부 판독 어려움</t>
        </is>
      </c>
    </row>
    <row r="10" ht="222"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기계공학기술자
· AI 대체: 반복 설계·검사·보정, 예방 정비, 데이터 분석 등(일부 판독 어려움)
· AI 협업: 복잡한 분석 및 개발 대응, 산업 맞춤형 제품·서비스 개발 등
· 대체 불가: 사회적·윤리적 판단, 새로운 과학적 가설 제시, 고객·동료와의 소통 및 신뢰 형성
· 체크: 'AI가 예상보다 더 많이 대체할 수 있었다'
· 새로 알게 된 점: '앞으로 10년 뒤면 AI가 더 발전할 것이기 때문에 AI가 생각보다 똑똑하다는 것을 새롭게 알게 되었다'
· 키울 역량: 소통·협업 능력, 리더십('AI가 아니기 때문'), 윤리적 판단력('AI가 아니기 때문')</t>
        </is>
      </c>
      <c r="E10" s="5" t="inlineStr">
        <is>
          <t>1-5 최종 선택과 연결된 직무 분석.</t>
        </is>
      </c>
      <c r="F10" s="5" t="inlineStr">
        <is>
          <t>준비 1가지, 명함 업그레이드, 모둠 토론 미기재 / 일부 판독 어려움</t>
        </is>
      </c>
    </row>
    <row r="11" ht="124"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기계공학과(기계공학기술자, 공학계열) / 관심 대학: 한양대학교
· 학과 개요: 모든 공학 분야에 응용되는 기계의 원리를 배움(일부 판독 어려움)
· 고교 관련 과목: 수학, 물리, 화학
· 자격증: 일반기계기사
· 다짐: '수학·물리·화학을 열심히 준비하고 다른 과목들도 열심히 준비해야겠다'</t>
        </is>
      </c>
      <c r="E11" s="5" t="inlineStr"/>
      <c r="F11" s="5" t="inlineStr">
        <is>
          <t>연결 포인트, 대학 주요 교과목, 진출 분야, 학과 전망 미기재</t>
        </is>
      </c>
    </row>
    <row r="12" ht="124"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4명·학생부교과+서류종합평가·미적용 / 종합 9명·서류종합평가 100%, 면접 40%+1단계 60%·미적용 / 논술 5명·학생부 30%(교과 20+출결 10)+논술 70%·적용 / 정시 9명·수능 80%+학생부 교과 20%·미적용
· 준비도 별점: 교과·종합 3개, 논술·실기 2개, 정시 1개</t>
        </is>
      </c>
      <c r="E12" s="5" t="inlineStr">
        <is>
          <t>사전 연습 표를 정확하게 작성.</t>
        </is>
      </c>
      <c r="F12" s="5" t="inlineStr">
        <is>
          <t>step2(도전 대입 전형 설계) 전체 미기재</t>
        </is>
      </c>
    </row>
    <row r="13" ht="180"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기계(공학) 관련 '그대로 유지', 희망 학과 기계공학과 '그대로 유지', 목표 대학 한양대 ERICA / 유지 이유: '기계에 대해 관심이 있기 때문에'
· 최종 진로 목표: 기계 관련 직업 / 기계공학과 / 한양대 ERICA
· 과목 연결: 국어—화법과 언어, 수학—대수·미적분, 과학—물리학·화학(수정 흔적)
· 수시 관심 전형: 학생부 교과 / 2학기 집중 과제: 공부
· 2학기 다짐: '1학기 성적이 별로여서 공부를 더 열심히 해야겠다'</t>
        </is>
      </c>
      <c r="E13" s="5" t="inlineStr">
        <is>
          <t>1-5 → 1-6 → 1-7 → 최종까지 기계공학으로 일관됨. 1학기 성적에 대한 아쉬움을 다짐에 적음.</t>
        </is>
      </c>
      <c r="F13" s="5" t="inlineStr">
        <is>
          <t>희망 계열, 선택 과목명 칸, 정시 관심 전형 미기재</t>
        </is>
      </c>
    </row>
    <row r="14" ht="194"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2025학년도 스마트시스템과학과
· 개인 평가: 학업 A&gt;C&gt;B, 진로 C&gt;A&gt;B, 공동체 A&gt;C&gt;B
· 이유: 학업—A가 성적이 가장 높고 생활기록부도 다른 학생보다 탄탄함 / 진로—B도 진로에 대해 잘 적혀 있지만 1순위와 비교하면 아쉬움 / 공동체—C는 공동체 역량이 우수하지만 1순위와 비교하면 아쉽고 3순위보다는 우수해 2순위
· 조별 예상 A&gt;C&gt;B → 실제 결과 A&gt;C&gt;B (완전 일치)
· 느낀 점: 서울대에 가려면 생활기록부와 교과 성적이 매우 중요하다는 것을 알게 됨 / 배운 점: 교과 성적이 매우 중요함</t>
        </is>
      </c>
      <c r="E14" s="5" t="inlineStr">
        <is>
          <t>순위 간 상대 비교로 근거를 제시해 논리적임. 예상 완전 일치.</t>
        </is>
      </c>
      <c r="F14" s="5" t="inlineStr">
        <is>
          <t>이름 판독 확인 필요, 학업 이유 일부 판독 어려움</t>
        </is>
      </c>
    </row>
    <row r="15" ht="94"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진로독서 (습관형성 칸은 지우고 진로독서에 체크)
· 선택 이유: '내가 아직 꿈이 없기도 하고 책을 읽는 게 재미있어서'
· B란 진로독서를 하는 이유: '책을 통해'라고 짧게 기재(일부 판독)</t>
        </is>
      </c>
      <c r="E15" s="5" t="inlineStr">
        <is>
          <t>'아직 꿈이 없다'고 솔직하게 밝힘. 독서에 흥미가 있다는 점은 강점.</t>
        </is>
      </c>
      <c r="F15" s="5" t="inlineStr">
        <is>
          <t>도서 선정 기준, 후보 도서, 8차시 계획, 한 줄 다짐, 자가 점검 미기재</t>
        </is>
      </c>
    </row>
    <row r="16" ht="136" customHeight="1">
      <c r="A16" s="4" t="inlineStr">
        <is>
          <t>p-2</t>
        </is>
      </c>
      <c r="B16" s="5" t="inlineStr">
        <is>
          <t>개별 진로 프로젝트 2차시(습관형성): 원인분석·목표설정 - 나를 돌아보고, 목표 세우기</t>
        </is>
      </c>
      <c r="C16" s="5" t="inlineStr">
        <is>
          <t>최근 목표·계획 돌아보기 → 목표 달성·계획 실행 정도 자기평가 → 어려움(장애물)과 개선방안 → SMART 기법으로 습관 목표 구체화 → 실천 확인(인증) 방법 → 모둠 의견 후 최종 습관 목표</t>
        </is>
      </c>
      <c r="D16" s="5" t="inlineStr">
        <is>
          <t>· (1차시엔 진로독서를 체크했으나 2차시는 습관형성 활동지로 작성, 'with 진영원')
· 최근 목표: 중간고사 평균 60점 맞기 (처음 쓴 목표는 지움) / 계획: 매일 4시간씩 공부하기
· 자기평가: 목표 달성 '보통', 계획 실행 '보통' / 이유: 매일 4시간씩 하고 싶지만 잘 안 됨
· 어려움 → 개선방안: ① 휴대폰 → 휴대폰을 내가 안 보이는 곳으로 치운다 ② TV → 아빠가 TV를 너무 크게 봐서 시끄러우니 소리를 줄여 달라고 말해야겠음</t>
        </is>
      </c>
      <c r="E16" s="5" t="inlineStr">
        <is>
          <t>트랙이 진로독서 → 습관형성으로 바뀜(짝 진영원과 함께 이동). 공부 방해 요인을 가정 환경(TV 소리)까지 구체적으로 짚고 해결책을 제시함.</t>
        </is>
      </c>
      <c r="F16" s="5" t="inlineStr">
        <is>
          <t>SMART 목표, 확인 방법, 최종 습관 목표 미기재 / 뒷면(SMART 이후 부분)은 낙서로 채움 / 트랙 변경 확인 필요</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10414 이현지)</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52"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자기소개 문제: 피아노를 6년 쳤다 / 연예인을 본 적 있다 등
· 질문지: 진로를 말할 수 있다·가족과 대화 '보통', 꿈을 위해 노력·공부 알고 노력 '그렇다', 상담 경험 '그렇지 않다'
· 상담 상대: 부모·친척 / 중요 요소: 나의 소질과 적성 / 정보 탐색: 인터넷 / 노력: 틈틈이 정보 수집
· 어려움: 나의 특성(흥미·적성·가치관·성격)에 대해 몰라서</t>
        </is>
      </c>
      <c r="E5" s="5" t="inlineStr"/>
      <c r="F5" s="5" t="inlineStr">
        <is>
          <t>진진가 퀴즈, 원하는 진로활동, 약속, 깨달은 점, 다섯 글자 다짐 미기재</t>
        </is>
      </c>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전부 작성: 수능, 교과·종합, 최저, 5등급제·상위 10%, 지필+수행, 수행평가, 192학점, 진로, 1학년 여름방학, 과정, 세부능력 및 특기사항, 수업 적극 참여, 자율·자치/동아리, 행동특성 및 종합의견, 공통, 통합사회/통합과학, 내신·생기부, 역전, 주도성</t>
        </is>
      </c>
      <c r="E6" s="5" t="inlineStr">
        <is>
          <t>빈칸을 모두 정확히 채움.</t>
        </is>
      </c>
      <c r="F6" s="5" t="inlineStr">
        <is>
          <t>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 및 내용 전체 미기재(빈 활동지)</t>
        </is>
      </c>
      <c r="E7" s="5" t="inlineStr">
        <is>
          <t>활동지를 작성하지 않음.</t>
        </is>
      </c>
      <c r="F7" s="5" t="inlineStr">
        <is>
          <t>전체 미기재</t>
        </is>
      </c>
    </row>
    <row r="8" ht="166"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①개방성(파블로 피카소) ②신중성(제갈공명) ③예술적 감수성(레오나르도 다빈치)
· 핵심 강점 '개방성' 연상어: 다문화, 다양성, 긍정, 수용, 편견이 없는 / 강화 방안: '다양한 사람들과 만난다'
· MIT 희망 전공: 경영·경제, 정치·국제, 언론·홍보 → 추천: 경영·경제, 주거(인테리어)·의류, 정치·국제
· 선호 계열: 사회계열
· 선호 직무: 글로벌형 / 직업 가치: 안정성 &gt; 경제적 풍족 &gt; 사회적 인정</t>
        </is>
      </c>
      <c r="E8" s="5" t="inlineStr">
        <is>
          <t>희망과 추천이 경영·경제, 정치·국제에서 겹침 — 이후 경영 컨설턴트·국제학부로 이어짐.</t>
        </is>
      </c>
      <c r="F8" s="5" t="inlineStr">
        <is>
          <t>일치 여부 성찰 미기재</t>
        </is>
      </c>
    </row>
    <row r="9" ht="68"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3개 조사: 경영 컨설턴트, 물류관리사, 세무사 — 하는 일·필요 능력·관련 학과 작성</t>
        </is>
      </c>
      <c r="E9" s="5" t="inlineStr">
        <is>
          <t>경영·물류·세무 등 상경 분야에 관심이 모여 있음.</t>
        </is>
      </c>
      <c r="F9" s="5" t="inlineStr">
        <is>
          <t>4번째 직업, 토너먼트 선택, 명함 미기재</t>
        </is>
      </c>
    </row>
    <row r="10" ht="264"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경영 컨설턴트
· AI 대체: 시장 조사, 데이터 정리, 경쟁사 분석
· AI 협업: 데이터는 AI가 정리하고 컨설턴트는 핵심 문제를 판단
· 대체 불가: CEO·임원 설득, 조직 내부 정치·감정 읽기
· 체크: '내 생각이 AI 답과 거의 같았다'
· 새로 알게 된 점: 경쟁사 분석이나 시장 조사도 AI가 하게 될 것이라는 게 놀라웠다
· 키울 역량: 소통·협업 능력(AI가 하기 힘들 것 같아서), AI 리터러시(AI 활용이 많아질 것이라서), 공감 능력(감정에 대한 것은 AI가 하기 힘듦)
· 준비 1가지: 'AI 리터러시를 높이기 위해 AI를 많이 활용해 본다'
· 업그레이드 명함: '경영 컨설턴트 — AI가 데이터를 읽는 동안, 나는 판단한다'</t>
        </is>
      </c>
      <c r="E10" s="5" t="inlineStr">
        <is>
          <t>완성도 높음. 역량 선택 이유와 실천 계획이 논리적으로 연결됨.</t>
        </is>
      </c>
      <c r="F10" s="5" t="inlineStr">
        <is>
          <t>모둠 토론 미기재</t>
        </is>
      </c>
    </row>
    <row r="11" ht="96"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국제학부 / 관심 대학: 경희대
· 학과 개요: 국제관계, 외교, 무역, 개발 협력 등 다양한 이슈를 분석
· 연결 포인트: '영어를 잘함 → 국제와 연결'
· 고교 관련 과목: 영어, 국어, 제2외국어, 사회</t>
        </is>
      </c>
      <c r="E11" s="5" t="inlineStr">
        <is>
          <t>1-5·1-6의 경영 컨설턴트와 달리 국제학부를 탐색 — 1-4의 '정치·국제', 글로벌형 직무와 연결됨.</t>
        </is>
      </c>
      <c r="F11" s="5" t="inlineStr">
        <is>
          <t>대학 주요 교과목, 자격증, 진출 분야, 학과 전망, 다짐 미기재</t>
        </is>
      </c>
    </row>
    <row r="12" ht="110"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 70%+서류평가 30%·X / 종합 9명·1단계 서류 100%, 2단계 면접 40%+1단계 60%·X / 논술 5명·학생부 30%(교과 20+출결 10)+논술 70%·O / 정시 9명·수능 80%+학생부 평가 20%·X
· 준비도 별점: 모든 전형 2개</t>
        </is>
      </c>
      <c r="E12" s="5" t="inlineStr">
        <is>
          <t>사전 연습 표를 정확하게 작성.</t>
        </is>
      </c>
      <c r="F12" s="5" t="inlineStr">
        <is>
          <t>step2(도전 대입 전형 설계) 전체 미기재</t>
        </is>
      </c>
    </row>
    <row r="13" ht="110"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목표 대학·계열 '상경' 그대로 유지(직업·학과 칸 미기재)
· 과목 선택 설계: 국어—주제탐구독서, 수학—기하, 영어—미디어 영어, 사회—법과 사회, 과학—생명과학</t>
        </is>
      </c>
      <c r="E13" s="5" t="inlineStr">
        <is>
          <t>상경계열 방향은 유지. 과목명을 영역별로 적었으나 진로와의 연결 포인트는 비워 둠 — 경영 컨설턴트(1-6)와 국제학부(1-7) 중 최종 방향 확인 필요.</t>
        </is>
      </c>
      <c r="F13" s="5" t="inlineStr">
        <is>
          <t>학번·이름, 5·7차시 기록, 최종 진로 목표, 연결 포인트, 대입 전형, 다짐 미기재</t>
        </is>
      </c>
    </row>
    <row r="14" ht="124"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2025학년도 소비자학
· 개인 평가: 학업 B&gt;A&gt;C, 진로 B&gt;A&gt;C, 공동체 A&gt;C&gt;B
· 조별 예상 A&gt;B&gt;C → 실제 결과 B&gt;A&gt;C
· 느낀 점: '학교생활을 성실하고 바르게 해야겠다는 것을 느꼈다'
· 배운 점: '공부만 중요한 게 아니라는 걸 배웠다'</t>
        </is>
      </c>
      <c r="E14" s="5" t="inlineStr">
        <is>
          <t>개인 평가(학업·진로 1순위 B)가 조별 예상보다 실제 결과에 더 가까웠음.</t>
        </is>
      </c>
      <c r="F14" s="5" t="inlineStr">
        <is>
          <t>역량별 이유 미기재</t>
        </is>
      </c>
    </row>
    <row r="15" ht="136"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주제탐구(진로연계형)
· 선택 이유: 평소 경영학과에 관심이 있어 관련 업무와 직업을 조사하고 싶어서
· 관심 분야 3가지: 경영, 광고홍보, ③ 판독 어려움
· 그렇게 생각한 이유: 학교에서 마케팅 수업을 들은 적이 있는데 그때 재밌었고…(뒷부분 판독 어려움)
· 8차시 계획: 3차시 '자료정리'만 기재
· 한 줄 다짐: 어려워도 포기하지 않겠다</t>
        </is>
      </c>
      <c r="E15" s="5" t="inlineStr">
        <is>
          <t>경영·마케팅 쪽 관심이 드러남. 자가 점검 3개 모두 체크.</t>
        </is>
      </c>
      <c r="F15" s="5" t="inlineStr">
        <is>
          <t>잠정 탐구 주제·주제 선택 이유, 2·4~7차시 계획 미기재 / 관심 분야 ③ 판독 어려움</t>
        </is>
      </c>
    </row>
    <row r="16" ht="164"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기업은 무료 서비스를 제공하면서 어떤 방식으로 수익을 창출하는가?
· 하위 질문 ①: 기업은 무료 이용자를 어떤 방식으로 수익으로 전환하는가? (메모: '무료로 쓰는 AI, 진짜 돈 버는 곳은 따로 있다')
· 하위 질문 ②: 무료 서비스와 유료 서비스의 차이는 소비자의 결제 의사에 어떤 영향을 미치는가?
· 하위 질문 ③: 무료 서비스 모델은 기업에게 어떤 장점과 위험을 가져오는가?
· 활용할 자료원: 유튜브·AI·음악 스트리밍 서비스 같은 실제 사례, 관련 기사·논문</t>
        </is>
      </c>
      <c r="E16" s="5" t="inlineStr">
        <is>
          <t>1차시에 비어 있던 탐구 주제를 2차시에 '무료 서비스의 수익 모델'이라는 경영학적 질문으로 잘 구체화함. 하위 질문 3개의 논리 구조가 탄탄함.</t>
        </is>
      </c>
      <c r="F16" s="5" t="inlineStr">
        <is>
          <t>없음</t>
        </is>
      </c>
    </row>
    <row r="17" ht="312"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3개 (영문 학술 자료)
· ① American Impact Review, 'Scaling a SaaS Business: The Role of Freemium Models in Converting Free Users to Paying Customers': 무료 버전으로 시작해 나중에 프리미엄을 쓰게 하는 'Free first' 전략과, 프리미엄을 먼저 경험하게 한 뒤 되돌아가게 하는 'Premium first' 전략으로 사용자의 유료 전환을 유도함
· ② 「프리미엄 서비스에 대한 지불 의향: 수익 창출 전략 간의 차이점 분석」, ScienceDirect(단축 링크 기재): 무료 버전을 쓰며 서비스의 기능적·쾌락적·사회적 가치를 높게 인식할수록 프리미엄 서비스에 대한 지불 의사가 높아짐(무료 → 유료 전환)
· ③ 'Zero as a Special Price: The True Value of Free Products', INFORMS PubsOnline: 가격이 0원일 때 무료 서비스를 실제 가치보다 더 매력적으로 느끼는 '제로 가격 효과'로, 소액 유료 서비스보다 무료 서비스를 선호하는 경향(무료 → 결제 의사 하락)</t>
        </is>
      </c>
      <c r="E17" s="5" t="inlineStr">
        <is>
          <t>영문 학술 논문 3편을 찾아 한국어로 정확히 요약함. 자료 ②와 ③이 '무료 경험이 결제 의사를 높이기도, 낮추기도 한다'는 상반된 결과라 하위 질문 ②에 대한 좋은 비교 소재가 됨. 두 자료의 차이를 메모로 정리하도록 권하면 좋겠음.</t>
        </is>
      </c>
      <c r="F17" s="5" t="inlineStr">
        <is>
          <t>자료 ④·⑤, 나의 생각/메모 미기재</t>
        </is>
      </c>
    </row>
  </sheetData>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10415 장하윤)</t>
        </is>
      </c>
    </row>
    <row r="2">
      <c r="A2" s="2" t="inlineStr">
        <is>
          <t>※ 활동지 스캔본(PDF)을 바탕으로 정리. 필체 판독이 어렵거나 학생이 미기재한 항목은 '판독 어려움/미기재'로 표기함. 이번 스캔본에 포함되지 않은 차시: 1-3.</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236"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진진가 퀴즈 답: 2번
· 자기소개 문제: 언니가 있다 / 좋아하는 계절은 여름이다(정답 표시) / 일본에 간 적이 있다
· 질문지: 진로를 말할 수 있다·꿈을 위해 노력·가족과 대화 '그렇다', 공부 알고 노력 '보통', 상담 경험 '그렇지 않다'
· 상담 상대: 부모·친척 / 중요 요소: 나의 소질과 적성 / 정보 탐색: 인터넷 / 노력: 틈틈이 정보 수집
· 어려움: 나의 특성에 대해 몰라서
· 원하는 진로활동: '진로와 관련된 재밌는 활동을 하고 싶어요'
· 약속: 적극 — '진로 활동에 적극적으로 참여해야 나에게 맞는 진로를 찾을 수 있기 때문'
· 깨달은 점: '수업 시간에 집중할 것이다' / 다섯 글자: '화이팅~~'</t>
        </is>
      </c>
      <c r="E5" s="5" t="inlineStr">
        <is>
          <t>OT 활동지를 성실하게 모두 작성.</t>
        </is>
      </c>
      <c r="F5" s="5" t="inlineStr"/>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수능, 교과·종합, 최저(수정 흔적), 5등급제·상위 10%, 수행+지필, 수행평가, 192학점, 진로, 1학년 여름방학, 과정, 교과학습발달상황(세특), 수업에 적극적으로 참여, 자율/동아리(수정 흔적), 행동특성 및 종합의견, 공통, 통합사회/통합과학, 생기부, 역전, 주도성</t>
        </is>
      </c>
      <c r="E6" s="5" t="inlineStr">
        <is>
          <t>빈칸을 대부분 정확히 채움.</t>
        </is>
      </c>
      <c r="F6" s="5" t="inlineStr">
        <is>
          <t>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이번 스캔본에 해당 차시 활동지가 포함되어 있지 않음</t>
        </is>
      </c>
      <c r="E7" s="5" t="inlineStr"/>
      <c r="F7" s="5" t="inlineStr">
        <is>
          <t>1-3 활동지 없음(원본 확인 필요)</t>
        </is>
      </c>
    </row>
    <row r="8" ht="208"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①공감(마더 테레사, 동물매개심리치료사) ②끈기(세종대왕, 반려동물 행동교정 전문가) ③개방성(파블로 피카소, 글로벌 홍보전문가)
· 핵심 강점 '공감' 연상어: 위로, 감정, 사회적, 상담, 관계, 입장, 친구 / 강화 방안: '상대방의 마음을 잘 알아내기'
· MIT 희망 전공: 언론·홍보, 미술·디자인, 사회·심리 → 추천: 주거·의류, 언론·홍보(광고·홍보·마케팅), 영상·공연
· 선호 계열: 예체능계열
· 불일치 해석: '내가 확실하게 정한 직업이 있지만 다른 직업들에도 눈길이 가는 것 같기 때문이다'
· 선호 직무: 아이디어형·예술가형 / 직업 가치: 안정성 &gt; 경제적 풍족 &gt; 사회적 인정</t>
        </is>
      </c>
      <c r="E8" s="5" t="inlineStr">
        <is>
          <t>언론·홍보가 희망·추천 모두에 포함 — 이후 광고홍보 진로로 이어짐. 공감 강점을 광고 직무의 '감정 읽기'와 연결하는 흐름이 보임.</t>
        </is>
      </c>
      <c r="F8" s="5" t="inlineStr"/>
    </row>
    <row r="9" ht="110"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3개 조사: 광고홍보전문가, 방송작가/PD, 반려동물 행동교정 전문가 — 하는 일·필요 능력·관련 학과 작성
· 토너먼트 최종: 광고홍보전문가 (선택 이유: 나와 맞는 직업이라서, 현재 나의 진로이기 때문)
· 방송PD 포기 이유: '방송PD가 광고홍보보다 관심이 적은 직업이어서'</t>
        </is>
      </c>
      <c r="E9" s="5" t="inlineStr"/>
      <c r="F9" s="5" t="inlineStr">
        <is>
          <t>4번째 직업, 명함 미기재</t>
        </is>
      </c>
    </row>
    <row r="10" ht="236"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광고홍보전문가
· AI 대체: 광고 카피 초안 작성, SNS 운영
· AI 협업: 캠페인 기획, 트렌드 분석
· 대체 불가: 사람의 감정을 읽는 능력, 경기 침체 시기의 위로형 광고
· 체크: 'AI가 못 하는 부분이 생각보다 많았다'
· 새로 알게 된 점: 'AI가 사람들의 감정을 읽는 능력이 없다는 게 의외였다'
· 키울 역량: 창의적 사고, AI 리터러시(AI를 잘 활용하는 것도 장점이라서), 윤리적 판단력(AI를 활용해도 옳은지 판단해야 해서)
· 준비 1가지: 문제 해결력
· 명함 업그레이드: '광고홍보!' → '광고 홍보 전문가 — AI가 광고를 만드는 동안, 나는 트렌드를 분석한다'</t>
        </is>
      </c>
      <c r="E10" s="5" t="inlineStr">
        <is>
          <t>완성도 높음. '위로형 광고'처럼 대체 불가 영역을 구체적인 사례로 제시함.</t>
        </is>
      </c>
      <c r="F10" s="5" t="inlineStr">
        <is>
          <t>모둠 토론 미기재</t>
        </is>
      </c>
    </row>
    <row r="11" ht="180"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광고홍보학과(사회계열) / 관심 대학: 안산대
· 학과 개요: 광고 기획·제작, 시장 조사, 매체 기획, 브랜드 등 다양한 분야를 공부
· 연결 포인트: 'SNS나 TV 같은 광고 매체에 관심이 있음'
· 고교 관련 과목: 사회 / 대학 주요 교과목: 크리에이티브 입문
· 자격증: 멀티미디어콘텐츠제작전문가 / 진출: 광고 대행 회사, 홍보 대행 회사
· 다짐: 관련 동아리 참여, 광고를 보면서 사람들의 반응을 많이 보기</t>
        </is>
      </c>
      <c r="E11" s="5" t="inlineStr">
        <is>
          <t>1-4 → 1-5 → 1-6 → 1-7까지 광고홍보로 진로가 일관됨.</t>
        </is>
      </c>
      <c r="F11" s="5" t="inlineStr">
        <is>
          <t>학과 전망 미기재</t>
        </is>
      </c>
    </row>
    <row r="12" ht="82"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모집 인원(4·9·5·9명)과 최저 적용 여부(논술만 적용), 정시 '수능 80%'만 기재
· 준비도 별점: 교과·종합 3개, 논술·실기 2개, 정시 1개</t>
        </is>
      </c>
      <c r="E12" s="5" t="inlineStr"/>
      <c r="F12" s="5" t="inlineStr">
        <is>
          <t>수시 전형 방법, step2(도전 대입 전형 설계) 미기재</t>
        </is>
      </c>
    </row>
    <row r="13" ht="68"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학번·이름만 기재, 나머지 전체 미기재</t>
        </is>
      </c>
      <c r="E13" s="5" t="inlineStr">
        <is>
          <t>1학기 마무리 활동 미작성. 광고홍보 진로가 일관되므로 과목 선택 설계를 개별로 확인해 볼 만함.</t>
        </is>
      </c>
      <c r="F13" s="5" t="inlineStr">
        <is>
          <t>전체 미기재</t>
        </is>
      </c>
    </row>
    <row r="14" ht="152"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2024학년도 사범대학 교육학과
· 개인 평가: 학업 C&gt;B&gt;A, 공동체 B&gt;C&gt;A
· 학업 이유: '소통과 기회라는 핵심 키워드로 책의 내용을 재정의해 보고, 우리나라 교육이 나아가야 할 방향에 대해 글쓰기에 고심한 흔적이 드러난다'
· 조별 예상 A&gt;C&gt;B(수정 흔적) → 실제 결과 A&gt;B&gt;C
· 느낀 점: '성적을 더 올려서 내가 바라는 학교로 갈 것이다' / 배운 점: '지금보다 더 많은 노력을 해야겠다'</t>
        </is>
      </c>
      <c r="E14" s="5" t="inlineStr">
        <is>
          <t>학업 역량 근거를 학생부 속 구체적 활동(독서·글쓰기)으로 제시 — 작성 가이드에 잘 맞는 서술.</t>
        </is>
      </c>
      <c r="F14" s="5" t="inlineStr">
        <is>
          <t>진로 역량 순위·이유, 공동체 이유 미기재</t>
        </is>
      </c>
    </row>
    <row r="15" ht="150"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 ('with 최맑음')
· 선택 이유: 평소 마케팅 직업에 관심이 많아 직접 조사해 보고 싶어서
· 관심 분야: ① 마케팅 (②③ 미기재)
· 그렇게 생각한 이유: 평소 화장품 광고에 흥미를 가지고 있었음
· 잠정 탐구 주제: 다양한 업계 광고가 대중에게 미치는 영향
· 주제 선택 이유: 최근 다양한 업계에서 광고를 내기 때문에 어떤 광고가 있는지 궁금해서</t>
        </is>
      </c>
      <c r="E15" s="5" t="inlineStr">
        <is>
          <t>마케팅 관심이 분명함. 주제 선정까지는 했으나 계획 단계가 비어 있음.</t>
        </is>
      </c>
      <c r="F15" s="5" t="inlineStr">
        <is>
          <t>관심 분야 ②③, 8차시 계획, 한 줄 다짐, 자가 점검 미기재</t>
        </is>
      </c>
    </row>
    <row r="16" ht="122"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방사선 전문성의 중요성을 알리기 위해 병원은 어떤 마케팅 전략을 사용할 수 있을까
· 하위 질문 ①: '사람들은 방사선의…'까지만 쓰고 중단</t>
        </is>
      </c>
      <c r="E16" s="5" t="inlineStr">
        <is>
          <t>1차시 '업계 광고 일반'에서 '병원 방사선 분야 마케팅'으로 주제가 구체화·변경됨(짝 최맑음과 공동 주제). 하위 질문 작성이 멈춰 있어 짝 활동지(최맑음)와 비교해 보완 지도 필요.</t>
        </is>
      </c>
      <c r="F16" s="5" t="inlineStr">
        <is>
          <t>하위 질문 ①~③, 자료원 미기재</t>
        </is>
      </c>
    </row>
    <row r="17" ht="236"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3개
· ① 의학신문 '의료 방사선 조사에서 지식 수준, 정보원, 선량 정보 제공에 대한 응답률': 사람들은 의료 방사선의 이익은 잘 알고 있지만 위험성은 보통 이상으로 느낌
· ② 보건복지부 법령 해석 정보 '의료광고의 심의': 방사선사가 방사선 관련 검사나 의료 영상을 홍보 콘텐츠에 활용할 때는 의료광고법 규정을 고려해야 함
· ③ 한국콘텐츠학회 논문지 제26권 제1호: 전문성과 신뢰성이 환자의 추천·재이용 의도에 영향을 주므로 방사선사의 정확한 검사와 안전관리 등을 보여 주기</t>
        </is>
      </c>
      <c r="E17" s="5" t="inlineStr">
        <is>
          <t>2차시에 멈춰 있던 탐구(병원 방사선 마케팅)를 인식 조사·법 규정·학술 논문으로 이어감. 광고법까지 챙긴 점이 좋음. 짝 최맑음과 출처·요약 문장이 거의 똑같음(공동 작성인지 확인 필요).</t>
        </is>
      </c>
      <c r="F17" s="5" t="inlineStr">
        <is>
          <t>자료 ④·⑤, 나의 생각/메모 미기재 / 논문 ③ 제목 미기재</t>
        </is>
      </c>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10416 조수아)</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222"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자기소개 문제: 햄버거를 좋아한다 / 중학교 때도 4반이었다 / 국어를 좋아한다
· 질문지: 진로를 말할 수 있다·가족과 대화 '그렇다', 꿈을 위해 노력·공부 알고 노력·상담 경험 '매우 그렇다'
· 상담 상대: 교사, 학원 강사 / 중요 요소: 나의 소질과 적성 / 정보 탐색: 관련 서적, 진로 상담
· 노력: 틈틈이 정보 수집, 흥미·적성을 찾기 위한 비교과 활동 참여
· 어려움: 부모님과 의견이 달라서
· 원하는 진로활동: '관련 직업 종사자나 직업을 가진 분과 Q&amp;A 시간과 수업을 받는 수업이 있으면 좋겠습니다'
· 약속: 적극</t>
        </is>
      </c>
      <c r="E5" s="5" t="inlineStr">
        <is>
          <t>진로 탐색 문항 응답이 모두 긍정적. 진로 결정의 어려움으로 '부모님과 의견 차이'를 꼽음 — 상담 시 참고. 직업인 특강·Q&amp;A를 구체적으로 요청함.</t>
        </is>
      </c>
      <c r="F5" s="5" t="inlineStr">
        <is>
          <t>진진가 퀴즈, 약속 이유, 깨달은 점, 다섯 글자 다짐 미기재</t>
        </is>
      </c>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전부 작성: 수능, 학생부 교과·학생부 종합, 최저, 5등급제·상위 10%, 지필+수행, 수행평가, 192학점, 희망 진로, 1학년 여름방학, 과정, 세부능력 및 특기사항, 수업에 적극적으로 참여, 자율/동아리, 행동특성 및 종합의견, 공통, 통합사회/통합과학, 내신·생기부, 역전, 주도성</t>
        </is>
      </c>
      <c r="E6" s="5" t="inlineStr">
        <is>
          <t>빈칸을 모두 정확히 채움.</t>
        </is>
      </c>
      <c r="F6" s="5" t="inlineStr">
        <is>
          <t>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 및 내용 전체 미기재(빈 활동지)</t>
        </is>
      </c>
      <c r="E7" s="5" t="inlineStr">
        <is>
          <t>활동지를 작성하지 않음.</t>
        </is>
      </c>
      <c r="F7" s="5" t="inlineStr">
        <is>
          <t>전체 미기재</t>
        </is>
      </c>
    </row>
    <row r="8" ht="180"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①신중성(제갈공명) ②적극성(김만덕) ③사교성(프란츠 리스트)
· 핵심 강점 '적극성' 연상어: 열정, 참여, 반장, 의욕, 맨 앞, 추진, 우두머리, 큰 목소리
· 강화 방안: '어떤 일이든 의욕적으로 참여하고 열정적으로 임하기'
· MIT 희망 전공: 법률·행정, 정치·국제, 경영·경제 → 추천: 정치·국제, 법률·행정, 경제·경영(순서만 다르고 모두 일치)
· 선호 계열: 사회계열
· 선호 직무: 글로벌형 / 직업 가치: 경제적 풍족 &gt; 안정성 &gt; 사회적 인정</t>
        </is>
      </c>
      <c r="E8" s="5" t="inlineStr">
        <is>
          <t>희망과 추천 전공이 3개 모두 일치 — 자기 인식이 뚜렷함.</t>
        </is>
      </c>
      <c r="F8" s="5" t="inlineStr">
        <is>
          <t>일치 여부 성찰 일부 판독 어려움</t>
        </is>
      </c>
    </row>
    <row r="9" ht="138"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공무원, 국제회의 전문가, 판사, 변호사 — 하는 일·필요 능력·관련 학과를 충실히 작성
· 토너먼트 최종: 판사 (선택 이유: '하는 일과 미래 전망 등이 마음에 들어서')
· 판사 선택 이유: 관련 교과와 하는 일이 나와 더 잘 맞아서 / 공무원 선택 이유: 내 성향과 능력에 더 적합해서 / 공무원 포기 이유: 관련 교과·직업 흥미 등이 판사가 더 잘 맞아서</t>
        </is>
      </c>
      <c r="E9" s="5" t="inlineStr">
        <is>
          <t>선택·포기 이유를 단계마다 비교해 논리적으로 작성.</t>
        </is>
      </c>
      <c r="F9" s="5" t="inlineStr">
        <is>
          <t>명함 미기재</t>
        </is>
      </c>
    </row>
    <row r="10" ht="292"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판사
· AI 대체: 판례·법률 자료 검색, 서류 요약 및 초안 작성, 단순·정형 사건 처리
· AI 협업: 증거 분석 보조, 양형 참고 데이터 제공, 국제·복잡 사건 자료 지원
· 대체 불가: 인간의 감정·맥락을 고려한 판단, 법의 가치와 정의에 대한 해석, 국민이 신뢰할 수 있는 최종 책임자 역할
· 체크: 'AI가 예상보다 더 많이 대체할 수 있었다'
· 새로 알게 된 점: 'AI가 할 수 있는 일이 생각보다 많고 판사는 대체되기 쉬운 직업이라고 해서 놀랐다'
· 키울 역량: 윤리적 판단력(판단이 정의로운지 판단해야 해서), 문제 해결력(복잡한 상황 해결), 소통·협업 능력
· 준비 1가지: '말로 논리를 정리하는 연습'
· 명함 업그레이드: '정의를 실현하고 옳은 판결을 내리는 판사' → 'AI가 자료를 보고 판단하는 동안, 나는 윤리적으로 생각하고 판단한다'</t>
        </is>
      </c>
      <c r="E10" s="5" t="inlineStr">
        <is>
          <t>완성도 높음. 직무 분석·역량·실천 계획·명함이 일관되게 연결됨.</t>
        </is>
      </c>
      <c r="F10" s="5" t="inlineStr">
        <is>
          <t>모둠 토론 미기재</t>
        </is>
      </c>
    </row>
    <row r="11" ht="208"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법학과, 행정학과 / 관심 대학: 동국대학교
· 학과 개요: 사회 정의를 유지하고 실현하기 위한 법의 원리를 연구하며, 토론·모의재판 등을 통해 법적 사고를 기름
· 연결 포인트: '사회 현상이나 문제에 관심이 많음 → 논증·토론 역량'
· 고교 관련 과목: 국어, 역사, 윤리, 정치, 법 / 대학 주요 교과목: 법학개론, 헌법, 민사소송법, 법철학 등
· 자격증: 변호사 자격증, 토익 / 진출: 로펌, 법무법인, 국회 입법조사관
· 다짐: 사회 현상 탐구해 보기, 관련 경험 많이 해보기(일부 판독 어려움)</t>
        </is>
      </c>
      <c r="E11" s="5" t="inlineStr">
        <is>
          <t>완성도 높음.</t>
        </is>
      </c>
      <c r="F11" s="5" t="inlineStr">
        <is>
          <t>학과 전망 미기재</t>
        </is>
      </c>
    </row>
    <row r="12" ht="124"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 70%+서류평가 30%·미적용 / 종합 9명·1단계 서류 100%, 2단계 면접 40%+1단계 60%·미적용 / 논술 5명·학생부 30%(교과 20+출결 10)+논술 70%·적용 / 정시 9명·수능 80%+학생부 평가 20%·미적용
· 준비도 별점: 교과·논술·정시 3개, 종합 2개, 실기 1개</t>
        </is>
      </c>
      <c r="E12" s="5" t="inlineStr">
        <is>
          <t>사전 연습 표를 정확하게 작성.</t>
        </is>
      </c>
      <c r="F12" s="5" t="inlineStr">
        <is>
          <t>step2(도전 대입 전형 설계) 전체 미기재</t>
        </is>
      </c>
    </row>
    <row r="13" ht="194"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판사, 희망 학과 법학과, 목표 계열 사회계열 모두 '그대로 유지'
· 최종 진로 목표: 사회계열 / 법조인(변호사·판사·검사) / 법학과 / 동국대
· 과목 선택 설계: 영어(글로벌 인재)—미디어 영어, 세계 문화와 영어 / 사회(전공 계열)—윤리와 사상, 현대사회와 윤리, 법과 사회, 정치 / 국어·과학·기타—흥미 중심(문학과 영상, 일본어 등 일부 판독 어려움)
· 대입 전형: 수시 학생부 교과·종합·논술, 정시 수능 / 2학기 집중 과제: 복습(수학)
· 2학기 다짐: '1학기에 너무 놀았으니 2학기에 정신 차리자'</t>
        </is>
      </c>
      <c r="E13" s="5" t="inlineStr">
        <is>
          <t>1-4 → 1-5 → 1-6 → 1-7 → 최종까지 법조인·법학과로 매우 일관되고, 사회 선택 과목을 진로와 연결해 구체적으로 설계함. 2-2에서 적은 진학 걱정('대학 갈 수 있을까?')과 함께 보면 목표는 뚜렷하나 성적 부담을 느끼는 것으로 보임.</t>
        </is>
      </c>
      <c r="F13" s="5" t="inlineStr">
        <is>
          <t>수학 선택 과목, 과목명 일부 판독 어려움, 바뀐/유지 이유 미기재</t>
        </is>
      </c>
    </row>
    <row r="14" ht="152"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2025학년도 소비자학 전공
· 개인 평가: 학업 B&gt;A&gt;C, 진로 A&gt;B&gt;C, 공동체 A&gt;C&gt;B
· 이유: 학업—성적을 봤을 때 평균이 가장 높은 순 / 진로—독서, 탐구 활동 등을 보고
· 조별 예상 A&gt;B&gt;C → 실제 결과 B&gt;A&gt;C
· 느낀 점: '나는 어떻게 대학 가지? 꼭 좋은 대학 가야겠다. 대학 갈 수 있을까?'
· 배운 점: 'A·B처럼 열심히 살아야겠다. 학교생활은 A처럼, 공부는 B처럼'</t>
        </is>
      </c>
      <c r="E14" s="5" t="inlineStr">
        <is>
          <t>대학 진학에 대한 걱정을 직접 표현 — 상담 시 참고.</t>
        </is>
      </c>
      <c r="F14" s="5" t="inlineStr">
        <is>
          <t>공동체 이유 미기재</t>
        </is>
      </c>
    </row>
    <row r="15" ht="220"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
· 선택 이유: 사회 시간 '인권과 헌법' 단원에서 법이 사회의 여러 문제를 해결하고 사람들의 권리를 보호하는 과정에 관심이 생김. 특히 사회 문제를 다양한 입장에서 보고 어떤 판단이 공정한지 생각해 보고 싶어서
· 관심 분야 3가지: 법, 언어, 윤리
· 그렇게 생각한 이유: 사회 시간에 법 관련 내용을 배우며 법이 실제로 사회의 다양한 문제를 해결하고 제대로 정의를 실현하고 있는지 관심을 갖게 됨
· 잠정 탐구 주제: 같은 범죄라도 처벌의 정도가 달라지는 이유는 무엇일까
· 주제 선택 이유: 뉴스에서 비슷한 범죄인 것 같아도 사람마다 형량이 달라지는 이유가 궁금해서
· 8차시 계획: 2차시 '기본 개념 조사'만 기재
· 한 줄 다짐: 나태하지 않겠다</t>
        </is>
      </c>
      <c r="E15" s="5" t="inlineStr">
        <is>
          <t>교과 수업(사회-인권과 헌법)을 탐구 동기로 명확히 연결함. 서술이 논리적이고 구체적임.</t>
        </is>
      </c>
      <c r="F15" s="5" t="inlineStr">
        <is>
          <t>3~7차시 계획 미기재, 자가 점검 1개만 체크</t>
        </is>
      </c>
    </row>
    <row r="16" ht="234"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법률 문서는 말이 왜 이렇게 어렵게 쓰여 있을까?
· 하위 질문 ①: 법률 문서에는 왜 어려운 전문 용어와 한자어가 많이 사용될까?
· 하위 질문 ②: 법률 문서를 쉽게 바꾸면 원래 의미가 달라질 수 있을까?
· 하위 질문 ③: 정확하면서도 이해하기 쉬운 법률 문서는 어떤 식으로 만들 수 있을까?
· 활용할 자료원: 국가법령정보센터, 찾기쉬운 생활법령정보, 법제처 자료, 국립국어원, 법원 판례·판결문, 헌법·민법, 도서 『법률 문장 어떻게 쓸 것인가』
· 차시 계획(여백에 추가): 3 실제 법률 문서 조사·어려운 이유 분석 → 4 쉬운 표현으로 바꿔보고 의미 변화 비교 → 5 바꿨을 때 장단점 정리 → 6 정확하면서 이해하기 쉬운 법률 문서 만들어보기 → 7 정리·발표 자료 초안 → 8 발표 자료 완성·발표 준비</t>
        </is>
      </c>
      <c r="E16" s="5" t="inlineStr">
        <is>
          <t>반에서 가장 완성도 높은 탐구계획서 중 하나. 1차시 '형량 차이' 주제를 관심 분야 '법+언어'를 결합한 주제로 스스로 발전시킴. 자료원이 공신력 있고 다양하며, 1차시에 비어 있던 차시 계획까지 스스로 보완함.</t>
        </is>
      </c>
      <c r="F16" s="5" t="inlineStr">
        <is>
          <t>없음</t>
        </is>
      </c>
    </row>
    <row r="17" ht="360"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5개 + 메모 (자료마다 〈공식자료〉〈기사〉〈책〉〈논문〉 유형을 표시)
· ① 법제처(moleg.go.kr) → 알기 쉬운 법령 만들기 → 정비 기준 및 자료실 〈공식자료〉: 어려운 한자어나 전문용어를 쉬운 표현으로 바꾸고 복잡한 법률 문장을 이해하기 쉽게 정비하는 내용
· ② 서울신문 [사설·칼럼] '쉬운 판결문'(2026.07.01, URL 기재) 〈기사〉: 판결문에 어려운 법률 용어와 복잡한 표현이 많다는 문제와 이를 쉽게 작성하려는 사례 소개
· ③ 『법률 문장 어떻게 쓸 것인가』 제4판(박영사) 〈책〉: 법률 문장은 정확해야 하지만 지나치게 복잡하면 이해하기 어려우므로 정확하면서도 명확하게 쓰는 방법 설명
· ④ '판결문의 가독성에 대한 연구', 한국심리학회지: 법 제6권 제1호(2015) 〈논문〉: 일반인이 판결문의 긴 문장과 어려운 용어를 이해하기 어렵다는 점을 분석하고 가독성을 높일 필요성을 보여 줌
· ⑤ 찾기 쉬운 생활법령정보(법제처) 〈공식자료〉: 어려운 법 조항을 생활 사례와 쉬운 말로 설명
· 메모: '법률 문서는 정확성을 유지하면서도 쉽게 표현하는 것이 좋음'</t>
        </is>
      </c>
      <c r="E17" s="5" t="inlineStr">
        <is>
          <t>반에서 가장 완성도 높음. 공식자료·기사·책·논문을 고르게 갖추고 권호·연도·URL까지 정확히 적음. 2차시 자료원 계획을 그대로 실행했고, 하위 질문 ①~③에 모두 대응하는 자료를 모음.</t>
        </is>
      </c>
      <c r="F17" s="5" t="inlineStr">
        <is>
          <t>논문 ④ 권호·쪽수 일부 판독 어려움</t>
        </is>
      </c>
    </row>
  </sheetData>
  <mergeCells count="2">
    <mergeCell ref="A2:F2"/>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10417 주하랑)</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250"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자기소개 문제: 3칸에 한 문장씩 작성 — 가장 좋아하는 시간은 새벽 1~2시이다 / 태블릿을 부숴 본 적 있다 / 가장 좋아하는 과목은 국어이다
· 질문지: 진로를 말할 수 있다 '그렇다', 가족과 꿈 이야기 '매우 그렇다', 꿈을 위해 노력·공부 알고 노력·상담 경험 '보통'
· 상담 상대: 부모·친척 / 중요 요소: 나의 소질과 적성 / 정보 탐색: 인터넷, 관련 서적, 부모님 말씀 / 노력: 틈틈이 정보 수집
· 어려움: 나의 특성에 대해 몰라서
· 원하는 진로활동: '강점 찾기, 다양한 직업 알아보기'
· 약속: 연결 — '진로 수업을 하는 이유도 미래를 위함이기 때문에 미래와 연결을 해야 한다고 생각'
· 깨달은 점: '고등학교에도 진로 수업이 있구나, 아직 진로가 명확하게 정해지지 않은 것도 괜찮구나'
· 다섯 글자: '공부좀하자'</t>
        </is>
      </c>
      <c r="E5" s="5" t="inlineStr">
        <is>
          <t>'진로가 정해지지 않아도 괜찮다'는 것을 OT에서 새롭게 깨달았다고 적음.</t>
        </is>
      </c>
      <c r="F5" s="5" t="inlineStr">
        <is>
          <t>진진가 퀴즈 미기재</t>
        </is>
      </c>
    </row>
    <row r="6" ht="110"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전부 작성: 수능, 교과·종합, 최저학력기준, 5등급제·상위 10%(등급별 인원 메모), 지필+수행, 수행평가, 192학점, 희망 진로, 1학년 여름방학, 과정, 세부능력 및 특기사항, 수업 적극 참여, 자율·자치/동아리, 행동특성 및 종합의견, 공통, 통합사회/통합과학, 생기부, 역전, 주도성
· 학생부 양식에 항목별 메모 표시</t>
        </is>
      </c>
      <c r="E6" s="5" t="inlineStr">
        <is>
          <t>빈칸을 모두 정확히 채움.</t>
        </is>
      </c>
      <c r="F6" s="5" t="inlineStr">
        <is>
          <t>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학번·이름만 기재, 내용 전체 미기재</t>
        </is>
      </c>
      <c r="E7" s="5" t="inlineStr">
        <is>
          <t>활동지를 작성하지 않음.</t>
        </is>
      </c>
      <c r="F7" s="5" t="inlineStr">
        <is>
          <t>전체 미기재</t>
        </is>
      </c>
    </row>
    <row r="8" ht="180"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①유머(조지 버나드 쇼) ②원만성(넬슨 만델라) ③호기심(알베르트 아인슈타인)
· 핵심 강점 '호기심' 연상어: 경험, 노력, 관심, 연구, 모험, 관찰, 생각 / 강화 방안: '다양하게 경험해 보기'
· MIT 희망 전공: 간호·보건, 약학, 영상·공연 → 추천: 바이오·화학, 국어국문학, 약학
· 선호 계열: 의약계열
· 불일치 해석: '일치X — 요즘 흥미 있는 분야가 변했으나 진로 분야를 바꾸기는 어렵다고 생각해서'
· 선호 직무: 예술가형 / 직업 가치: 안정성 &gt; 경제적 풍족 &gt; 사회적 인정</t>
        </is>
      </c>
      <c r="E8" s="5" t="inlineStr">
        <is>
          <t>흥미는 바뀌고 있지만 진로를 바꾸기는 어렵다고 스스로 적음 — 신소연·엄시호와 비슷한 '흥미 vs 기존 진로' 고민이 보임.</t>
        </is>
      </c>
      <c r="F8" s="5" t="inlineStr"/>
    </row>
    <row r="9" ht="138"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간호사, 임상병리사, 신약개발연구원, 심리학 연구원 — 하는 일·필요 능력·관련 학과를 충실히 작성
· 토너먼트 최종: 임상병리사로 적었다가 간호사로 수정한 흔적
· 선택 이유: 보수·안정성, 미래 전망 등 / 신약개발연구원 선택 이유: 흥미 / 임상병리사 선택 이유: 사람과의 대화 부담이 적은 점 등(일부 판독 어려움)</t>
        </is>
      </c>
      <c r="E9" s="5" t="inlineStr">
        <is>
          <t>간호사와 임상병리사 사이에서 고민한 흔적이 남아 있음.</t>
        </is>
      </c>
      <c r="F9" s="5" t="inlineStr">
        <is>
          <t>명함 미기재 / 선택·포기 이유 일부 판독 어려움</t>
        </is>
      </c>
    </row>
    <row r="10" ht="264"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간호사
· AI 대체: 정형화된 간호 기록, 약물 관리 및 투약 오류 체크, 단순 안내 및 1차 스크리닝
· AI 협업: 환자 상태 악화 조기 예측, 맞춤형 간호계획 수립, 스마트 모니터링 및 낙상 방지
· 대체 불가: 공감과 정서적 지지(비언어적 교감), 복잡하고 모호한 임상적 의사결정, 윤리적 판단 및 옹호자 역할
· 체크: '내 생각이 AI 답과 거의 같았다'
· 새로 알게 된 점: 환자 관리·투약 체계를 자동화하는 데 AI가 기여할 수 있다는 예측이 새로웠다
· 키울 역량: 윤리적 판단력(AI가 침해한 권리 등을 판단해야 해서), 공감 능력(AI가 유일하게 못 하는 것이라서), AI 리터러시(AI가 상용화되면 잘 활용해야 해서)
· 준비 1가지: 윤리적 판단력
· 모둠원 직업: 동물조련사, 의사, 간호사, 간호사</t>
        </is>
      </c>
      <c r="E10" s="5" t="inlineStr">
        <is>
          <t>역량 이유가 구체적. 같은 모둠의 진영원(10418)과 AI 답변 내용이 같음(모둠 공동 조사로 보임).</t>
        </is>
      </c>
      <c r="F10" s="5" t="inlineStr">
        <is>
          <t>명함 업그레이드, 모둠 결론 미기재</t>
        </is>
      </c>
    </row>
    <row r="11" ht="222"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간호학과 / 관심 대학: 고려대(여백에 한양대 ERICA 메모)
· 학과 개요: 기초 의학과 간호학의 기초를 쌓고 실무 역량을 기르며, 간호사로서의 기본 소양과 과학적 탐구·실무 역량을 양성
· 연결 포인트: 논리적 사고와 비판적 사고·통찰력, 창의적 문제 해결 능력 / 생명과학·화학·사회 등 교과에 흥미
· 고교 관련 과목: 생명과학, 세포와 물질대사, 생물의 유전, 생명과학 실험, 융합과학 탐구
· 대학 주요 교과목: 생화학, 생명과학, 생물학 실습, 심리학, 해부학, 생리학
· 자격증: 간호사, 보건전문간호사 / 진출: 종합병원, 대학병원, 제약회사 등
· 다짐: '교내 봉사활동을 잘 참여해야겠다'</t>
        </is>
      </c>
      <c r="E11" s="5" t="inlineStr">
        <is>
          <t>완성도 높음. 관련 과목을 2022 개정 과목명으로 구체적으로 제시.</t>
        </is>
      </c>
      <c r="F11" s="5" t="inlineStr">
        <is>
          <t>학과 전망 미기재</t>
        </is>
      </c>
    </row>
    <row r="12" ht="138"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 70%+교과 관련 서류종합평가 30%·미적용 / 종합 9명·1단계 서류종합평가 100%, 2단계 면접 40%+1단계 60%·미적용 / 논술 5명·학생부 30%(교과 20+출결 10)+논술 70%·적용 / 정시 9명·'수능 60%·실기 40%'로 기재(확인 필요)
· 준비도 별점: 종합·논술 3개, 교과 2개, 실기·정시 1개</t>
        </is>
      </c>
      <c r="E12" s="5" t="inlineStr"/>
      <c r="F12" s="5" t="inlineStr">
        <is>
          <t>step2(도전 대입 전형 설계) 전체 미기재</t>
        </is>
      </c>
    </row>
    <row r="13" ht="124"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간호사 '그대로 유지', 희망 학과 간호학과 '그대로 유지', 목표 대학 고려대 → '완전히 바뀜' / 변경 이유: '성적'
· 최종 진로 목표: 보건계열 / 간호사 / 간호학과 / 경희대
· 과목 연결 칸에 영역별 과목명만 기재: 국어 화법, 영어, 사회 윤리, 과학 생명 등(일부 판독 어려움)</t>
        </is>
      </c>
      <c r="E13" s="5" t="inlineStr">
        <is>
          <t>1-4 → 1-5 → 1-6 → 1-7 → 최종까지 간호사·간호학과로 일관됨. 목표 대학을 '성적' 때문에 고려대에서 경희대로 조정.</t>
        </is>
      </c>
      <c r="F13" s="5" t="inlineStr">
        <is>
          <t>선택할 과목명 칸, 대입 전형, 2학기 집중 과제·다짐 미기재</t>
        </is>
      </c>
    </row>
    <row r="14" ht="236"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2024학년도 첨단융합학부
· 개인 평가: 학업 C&gt;A&gt;B, 진로 A&gt;C&gt;B, 공동체 A&gt;C&gt;B
· 이유: 학업—성적이 점점 오르는 추세여서 C를 가장 좋게 보았고, A와 B는 성적 비교 시 A가 더 높음 / 진로—실생활에서 사용 가능한 기술을 찾기 위해 스스로 탐구, 문제 성찰 역량이 높음 / 공동체—타인을 배려하고 친구들 사이를 좋게 만드는 등 관계가 좋음
· 조별 예상 A&gt;C&gt;B → 실제 결과 A&gt;C&gt;B (완전 일치)
· 느낀 점: 스스로 학습·활동이 가능하다는 점이 생각보다 매력적으로 보이며 탐구활동 여부도 큰 영향을 끼치는 것 같다
· 배운 점: '일단 내신 성적을 챙기고, 스스로 학습할 수 있는 역량을 길러야 한다'</t>
        </is>
      </c>
      <c r="E14" s="5" t="inlineStr">
        <is>
          <t>완성도 높음. 성적 '추세'까지 고려한 분석이 돋보이고 예상 완전 일치.</t>
        </is>
      </c>
      <c r="F14" s="5" t="inlineStr"/>
    </row>
    <row r="15" ht="178"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
· 선택 이유: 평소 간호사라는 직업에 관심이 많지만 간호사에 대해 잘 모르는 것 같아, 이번 기회에 더 조사한 뒤 친구들에게 알기 쉽게 정보를 알리고 싶어서
· 관심 분야 3가지: 생명, 간호, 윤리
· 그렇게 생각한 이유: 생명과학 시간에 생명윤리에 대해 배우며 '간호'에 대해 더 알아보고 싶어짐(일부 판독)
· 잠정 탐구 주제: '왜 우리 모두가 아인슈타인이 될 수는 없는 걸까'(일부 판독 추정)
· 주제 선택 이유: 간호의 관점과 관련된 탐구를 진행하기 위해(일부 판독)</t>
        </is>
      </c>
      <c r="E15" s="5" t="inlineStr">
        <is>
          <t>간호사 진로 관심과 생명과학 수업을 연결함. 다만 잠정 탐구 주제(아인슈타인)는 간호 진로와 연결이 약해 보여 의도 확인 필요.</t>
        </is>
      </c>
      <c r="F15" s="5" t="inlineStr">
        <is>
          <t>8차시 계획, 한 줄 다짐, 자가 점검 미기재 / 잠정 주제 일부 판독 어려움</t>
        </is>
      </c>
    </row>
    <row r="16" ht="122"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인류는 인공지능 시대에 어떻게 진화하게 될까?
· 하위 질문 ①: 인공지능 시대에도 인간에게 자연선택은 계속 작용할까?
· 하위 질문 ②: 현대 의학과 AI 기술의 발전은 자연선택의 조건을 어떻게 변화시킬 수 있을까?
· 하위 질문 ③: 인공지능 시대의 환경 변화가 인간의 유전적 다양성과 진화에 어떤 영향을 줄 수 있는가?</t>
        </is>
      </c>
      <c r="E16" s="5" t="inlineStr">
        <is>
          <t>질문의 수준이 높고 생명과학 개념(자연선택·유전적 다양성)을 정확히 사용함. 다만 희망 진로(간호사)와는 거리가 있으므로 '현대 의학' 부분을 간호·보건 관점으로 연결하도록 지도하면 좋겠음.</t>
        </is>
      </c>
      <c r="F16" s="5" t="inlineStr">
        <is>
          <t>자료원 미기재</t>
        </is>
      </c>
    </row>
    <row r="17" ht="360"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4개 + 메모 (영문 학술 자료)
· ① OECD(2026) 「Skills in the AI Age」: AI가 노동시장과 직업을 변화시키며, 변화된 환경에 맞춰 인간에게 요구되는 기술과 능력도 달라질 수 있다고 분석
· ② WHO(2021) 「Ethics and Governance of Artificial Intelligence for Health」: AI가 진단·치료·의료 연구·신약 개발·공중보건 등에 활용되며 인간의 건강과 의료 환경을 바꿀 수 있음
· ③ Nature Reviews Genetics(2014) 「Natural Selection and Infectious Disease in Human Populations」: 과거 인간 집단이 병원체에 노출되며 생존·번식에 유리한 유전적 특성이 선택됨. 즉 질병과 환경이 자연선택의 요인이 될 수 있다는 증거
· ④ PNAS(2019) 「Cultural Evolutionary Theory: How Culture Evolves and Why It Matters」: 문화도 사회적 학습으로 전달되고 변이와 선택을 거쳐 변화하며, 생물학적 진화와 상호작용함
· 메모: '더 다양한 자료를 찾아야겠다. 한국의 자료도 찾아볼까'</t>
        </is>
      </c>
      <c r="E17" s="5" t="inlineStr">
        <is>
          <t>OECD·WHO·Nature·PNAS 등 최상위 학술 자료를 연도와 함께 정확히 적고 요약함. 2차시 하위 질문(자연선택, 현대 의학·AI, 유전적 다양성)과 잘 맞음. WHO 의료 AI 자료는 희망 진로(간호사)와 이어질 수 있는 연결고리라 이 부분을 키우도록 권해도 좋겠음.</t>
        </is>
      </c>
      <c r="F17" s="5" t="inlineStr">
        <is>
          <t>자료 ⑤ 미기재</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10418 진영원)</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82"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질문지: 진로를 말할 수 있다·공부 알고 노력 '보통', 꿈을 위해 노력·가족과 꿈 이야기·상담 경험 '그렇지 않다'
· 상담 상대: 부모·친척 / 중요 요소: 가정의 경제 사정(체크 위치 확인 필요)</t>
        </is>
      </c>
      <c r="E5" s="5" t="inlineStr">
        <is>
          <t>진로 노력과 대화·상담 경험이 적다고 응답.</t>
        </is>
      </c>
      <c r="F5" s="5" t="inlineStr">
        <is>
          <t>1쪽(진진가·자기소개) 전체, 정보 탐색·노력·어려움·원하는 활동·약속·다짐 미기재</t>
        </is>
      </c>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전부 작성: 수능, 학생부 교과·학생부 종합, 최저학력, 5등급제·상위 10%, 지필+수행, 수행평가, 192학점, 희망 진로, 1학년 여름방학, 과정, 세부능력 및 특기사항, 수업에 적극적으로 참여, 자율/동아리, 행동특성 및 종합의견, 공통, 통합사회/통합과학, 내신, 역전, 주도성</t>
        </is>
      </c>
      <c r="E6" s="5" t="inlineStr">
        <is>
          <t>빈칸을 모두 정확히 채움.</t>
        </is>
      </c>
      <c r="F6" s="5" t="inlineStr">
        <is>
          <t>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학번·이름만 기재, 내용 전체 미기재</t>
        </is>
      </c>
      <c r="E7" s="5" t="inlineStr">
        <is>
          <t>활동지를 작성하지 않음.</t>
        </is>
      </c>
      <c r="F7" s="5" t="inlineStr">
        <is>
          <t>전체 미기재</t>
        </is>
      </c>
    </row>
    <row r="8" ht="166"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①협동심(공자) ②감사(소크라테스) ③감성 회복력(헬렌 켈러)
· 핵심 강점 '감사' 연상어: 배려, 끈기, 인성, 마음, 경험, 인내 등 / 강화 방안: 판독 어려움
· MIT 희망 전공: 주거(인테리어)·의류, 간호·보건, 초·중등교육 → 추천: 간호·보건, 약학, 식품·조리
· 불일치 해석: '내가 재밌어할 것 같아서'
· 직업 가치: 안정성 &gt; 경제적 풍족 &gt; 사회적 인정</t>
        </is>
      </c>
      <c r="E8" s="5" t="inlineStr">
        <is>
          <t>간호·보건이 희망·추천 모두에 포함 — 이후 간호사 진로로 이어짐.</t>
        </is>
      </c>
      <c r="F8" s="5" t="inlineStr">
        <is>
          <t>선호 계열 미기재, 선호 직무 유형 칸에 '안정성' 기재(지운 흔적)</t>
        </is>
      </c>
    </row>
    <row r="9" ht="68"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3개 조사: 간호사, 약사, 한약사 — 하는 일·필요 능력·관련 학과 작성</t>
        </is>
      </c>
      <c r="E9" s="5" t="inlineStr">
        <is>
          <t>의약·보건 분야로 관심이 모여 있음.</t>
        </is>
      </c>
      <c r="F9" s="5" t="inlineStr">
        <is>
          <t>4번째 직업, 토너먼트, 명함 미기재</t>
        </is>
      </c>
    </row>
    <row r="10" ht="264"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간호사
· AI 대체: 정형화된 간호 기록 및 행정 업무, 약물 관리 및 투약 오류 자동화, 단순 안내 및 1차 스크리닝
· AI 협업: 환자 상태 악화 조기 예측, 맞춤형 간호계획 수립, 스마트 모니터링 및 낙상 방지
· 대체 불가: 공감과 정서적 지지(비언어적 교감), 복잡하고 모호한 임상적 의사결정, 윤리적 판단 및 옹호자 역할
· 체크: 'AI가 예상보다 더 많이 대체할 수 있었다'
· 새로 알게 된 점: AI가 예상보다 더 많이 대체한다는 것이 놀라웠다
· 키울 역량: 현장 경험·직관, 리더십('리더십이 없음'), AI 리터러시('AI는 필수로 활용해야 할 것 같다')
· 준비 1가지: 'AI에 관해 익히고 공부해서 사용해 본다'</t>
        </is>
      </c>
      <c r="E10" s="5" t="inlineStr">
        <is>
          <t>같은 모둠의 주하랑(10417)과 AI 답변 내용이 같음. 스스로 '리더십이 없다'고 적은 점은 자신감 측면에서 참고.</t>
        </is>
      </c>
      <c r="F10" s="5" t="inlineStr">
        <is>
          <t>명함 업그레이드, 모둠 토론 미기재</t>
        </is>
      </c>
    </row>
    <row r="11" ht="138"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간호학과(의약계열) / 관심 대학: 한양대
· 학과 개요: 인간의 건강을 유지·증진·회복시키기 위한 과학적 지식과 실천 기술을 연구하는 학문
· 연결 포인트: '나는 뭔가를 분석하는 것을 좋아한다 → 비판적 사고 역량'
· 고교 관련 과목: 수학(미적분Ⅰ, 확률과 통계, 미적분Ⅱ), 물리학, 화학, 생명과학, 지구과학
· 다짐: '앞으로 과학을 열심히'</t>
        </is>
      </c>
      <c r="E11" s="5" t="inlineStr"/>
      <c r="F11" s="5" t="inlineStr">
        <is>
          <t>대학 주요 교과목, 자격증, 진출 분야, 학과 전망 미기재</t>
        </is>
      </c>
    </row>
    <row r="12" ht="110"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 70%+교과 관련 영역 30%·미적용 / 종합 9명·1단계 서류 100%, 2단계 면접 40%+1단계 60%·미적용 / 논술 5명·학생부 30%(교과 20+출결 10)+논술 70%·적용 / 정시 9명·'수능 60%·실기 40%'로 기재(확인 필요)
· 준비도 별점: 교과 3개, 나머지 2개</t>
        </is>
      </c>
      <c r="E12" s="5" t="inlineStr"/>
      <c r="F12" s="5" t="inlineStr">
        <is>
          <t>step2(도전 대입 전형 설계) 전체 미기재</t>
        </is>
      </c>
    </row>
    <row r="13" ht="124"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간호사, 희망 학과 간호학과, 목표 대학 한양대 ERICA 모두 '그대로 유지' / 유지 이유: '관심이 그대로여서'
· 최종 진로 목표: 보건교사·간호사 / 간호학과(교육 관련 메모) / 한양대 ERICA</t>
        </is>
      </c>
      <c r="E13" s="5" t="inlineStr">
        <is>
          <t>1-4 → 1-6 → 1-7 → 최종까지 간호 분야로 일관되며, 최종에서 '보건교사'를 함께 적어 진로를 구체화하는 중. 2-2에서는 스마트시스템과학과 사례를 골라 평가함.</t>
        </is>
      </c>
      <c r="F13" s="5" t="inlineStr">
        <is>
          <t>희망 계열(지운 흔적), 과목 선택 설계, 대입 전형, 2학기 다짐 미기재</t>
        </is>
      </c>
    </row>
    <row r="14" ht="222"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2025학년도 농업생명과학대학 스마트시스템과학과
· 개인 평가: 학업 A&gt;C&gt;B, 진로 A&gt;B&gt;C, 공동체 C&gt;B&gt;A(수정 흔적)
· 이유: 학업—A 학생은 내신이 제일 뛰어남 / 진로—A는 파이썬에 관한 지식을 노력으로 채움, B는 토양 실험 결과를 해석하는 과정에서 배움을 얻음 / 공동체—A의 밴드 동아리 활동, C의 학교 문제 해결 경험 등을 비교
· 조별 예상 A&gt;C&gt;B → 실제 결과 A&gt;C&gt;B (완전 일치)
· 느낀 점: '친구들과 나의 의견이 조금은 달랐다는 것을 느꼈다'
· 배운 점: 각 학생의 활동을 다르게 볼 수 있다는 것을 배웠다</t>
        </is>
      </c>
      <c r="E14" s="5" t="inlineStr">
        <is>
          <t>학생부 속 구체적 활동(파이썬·토양 실험)을 근거로 제시. 조별 토의의 의견 차이를 인식.</t>
        </is>
      </c>
      <c r="F14" s="5" t="inlineStr">
        <is>
          <t>공동체 이유·배운 점 일부 판독 어려움</t>
        </is>
      </c>
    </row>
    <row r="15" ht="94"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습관형성에 체크했으나, 선택 이유에는 '아직 진로가 명확하지 않고 책을 읽고 적성을 찾기 위해 진로독서 트랙을 선택함'이라고 기재
· A란 '진로연계형' 칸에 낙서형 표시(내용 없음)
· B란 진로독서를 하는 이유: 어떤 일을 할지 보고 싶어서</t>
        </is>
      </c>
      <c r="E15" s="5" t="inlineStr">
        <is>
          <t>최종 체크(습관형성)와 선택 이유·작성란(진로독서)이 서로 달라 트랙 선택이 불분명함. '아직 진로가 명확하지 않다'고 밝힘.</t>
        </is>
      </c>
      <c r="F15" s="5" t="inlineStr">
        <is>
          <t>트랙 불일치(확인 필요), 도서 선정 기준·후보 도서, 8차시 계획, 한 줄 다짐, 자가 점검 미기재</t>
        </is>
      </c>
    </row>
    <row r="16" ht="136" customHeight="1">
      <c r="A16" s="4" t="inlineStr">
        <is>
          <t>p-2</t>
        </is>
      </c>
      <c r="B16" s="5" t="inlineStr">
        <is>
          <t>개별 진로 프로젝트 2차시(습관형성): 원인분석·목표설정 - 나를 돌아보고, 목표 세우기</t>
        </is>
      </c>
      <c r="C16" s="5" t="inlineStr">
        <is>
          <t>최근 목표·계획 돌아보기 → 목표 달성·계획 실행 정도 자기평가 → 어려움(장애물)과 개선방안 → SMART 기법으로 습관 목표 구체화 → 실천 확인(인증) 방법 → 모둠 의견 후 최종 습관 목표</t>
        </is>
      </c>
      <c r="D16" s="5" t="inlineStr">
        <is>
          <t>· ('with 유영하', 습관형성 활동지로 작성)
· 최근 목표: 중간고사 평균 70점 이상 맞기 / 계획: 추석 때 하루 30분 이상 공부하기
· 자기평가: 목표 달성 '보통', 계획 실행 '보통' / 이유: 항상 계획을 세운 것보다 덜 했다
· 어려움 → 개선방안: ① 핸드폰 → 핸드폰을 내가 있는 곳과 분리한다 ② 수면욕 → 학원 다녀와서 씻고 밥 먹고 … 잔다(여러 번 고쳐 써서 일부 판독 어려움)</t>
        </is>
      </c>
      <c r="E16" s="5" t="inlineStr">
        <is>
          <t>2차시에서 습관형성으로 정리됨(짝 유영하와 함께). 계획 대비 실천 부족을 스스로 인식하고, 휴대폰·수면이라는 구체적 장애물을 짚음.</t>
        </is>
      </c>
      <c r="F16" s="5" t="inlineStr">
        <is>
          <t>SMART 목표, 확인 방법, 최종 습관 목표 미기재</t>
        </is>
      </c>
    </row>
    <row r="17" ht="308" customHeight="1">
      <c r="A17" s="4" t="inlineStr">
        <is>
          <t>p-3</t>
        </is>
      </c>
      <c r="B17" s="5" t="inlineStr">
        <is>
          <t>개별 진로 프로젝트 3차시(습관형성): 습관 실천 — 1주차 습관 기록표</t>
        </is>
      </c>
      <c r="C17" s="5" t="inlineStr">
        <is>
          <t>이번 주 목표와 확인(인증) 방법 정하기, 요일별 실천 내용·실천/인증 체크·오늘의 한 줄(동료 응원) 기록, 실천 일수와 한 주 소감 작성</t>
        </is>
      </c>
      <c r="D17" s="5" t="inlineStr">
        <is>
          <t>[습관형성] 1주차 습관 기록표
· 이번 주 목표: 추석 때 하루 30분 이상 공부 / 확인(인증) 방법: 비어 있음
· 월 30분 국어 지문 읽고 문제 풀기('너무 어렵다, 지문이 눈에 잘 안 들어왔다') / 화 20분 영어 지문('조금 어렵지만 할 만하다') / 수 20분 수학 프린트('수학은 너무 어려웠다') / 목 15분 영단어 100개('쉽다') / 금 20분 수학 문제('할 만하다') / 토 20분 국어('지문이 읽히고 문제가 잘 풀린다') / 일 30분 영어 지문 복습('30분 공부가 조금 빡셌다')
· 7일 모두 실천 ○·인증 ✓, 이번 주 실천 일수: 7일 / 7일
· 느낀 점: '하루에 학교·학원 빼고 공부를 안 하다가 30분씩 하려니까 너무 어려웠다. 그리고 추석 때 게임을 적게 하는 게 어려웠다. 하지만 공부를 할 때에는 핸드폰을 나와 분리했다.'</t>
        </is>
      </c>
      <c r="E17" s="5" t="inlineStr">
        <is>
          <t>7일 모두 기록했고, 과목별로 느낀 난이도 변화(국어: 어렵다 → 잘 풀린다)까지 적어 기록의 질이 높음. 2차시에 세운 개선 방안(핸드폰 분리)을 실제로 실천함. 다만 목표는 30분인데 15~20분인 날이 많아 '실천'의 기준을 함께 정해 볼 필요가 있음.</t>
        </is>
      </c>
      <c r="F17" s="5" t="inlineStr">
        <is>
          <t>확인(인증) 방법 미기재 / 목표 시간(30분)에 못 미친 날 5일</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10419 최맑음)</t>
        </is>
      </c>
    </row>
    <row r="2">
      <c r="A2" s="2" t="inlineStr">
        <is>
          <t>※ 활동지 스캔본(PDF)을 바탕으로 정리. 필체 판독이 어렵거나 학생이 미기재한 항목은 '판독 어려움/미기재'로 표기함. 이번 스캔본에 포함되지 않은 차시: 1-3.</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80"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자기소개 문제: 초등학교 3학년 때 전학을 갔다 등
· 질문지: 진로를 말할 수 있다·공부 알고 노력 '그렇지 않다', 꿈을 위해 노력·가족과 대화 '보통', 상담 경험 '그렇다'
· 상담 상대: 교사 / 중요 요소: 나의 소질과 적성, 학업 성적 / 정보 탐색: 인터넷
· 어려움: 나의 특성에 대해 몰라서
· 약속: 적극 — '뭘 해야 할지 모를 때는 일단 집중해서 듣고 해야 한다고 생각'
· 깨달은 점: '더 열심히 참여하겠습니다' / 다섯 글자: '똑바로하자'</t>
        </is>
      </c>
      <c r="E5" s="5" t="inlineStr"/>
      <c r="F5" s="5" t="inlineStr">
        <is>
          <t>진진가 퀴즈, 노력 문항, 원하는 진로활동 미기재</t>
        </is>
      </c>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전부 작성: 수능, 교과·종합, 최저, 5등급제·상위 10%, 지필+수행, 수행평가, 192학점, 진로, 1학년 여름방학, 과정, 세부능력 및 특기사항, 수업 적극 참여, 자율/동아리, 행동특성 및 종합의견, 공통, 통합사회/통합과학, 역전, 주도성</t>
        </is>
      </c>
      <c r="E6" s="5" t="inlineStr">
        <is>
          <t>빈칸을 모두 정확히 채움.</t>
        </is>
      </c>
      <c r="F6" s="5" t="inlineStr">
        <is>
          <t>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이번 스캔본에 해당 차시 활동지가 포함되어 있지 않음</t>
        </is>
      </c>
      <c r="E7" s="5" t="inlineStr"/>
      <c r="F7" s="5" t="inlineStr">
        <is>
          <t>1-3 활동지 없음(원본 확인 필요)</t>
        </is>
      </c>
    </row>
    <row r="8" ht="236"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①용감성(안중근) ②감성 회복력(헬렌 켈러) ③도덕성(임마누엘 칸트)
· 핵심 강점 '도덕성' 연상어: 부끄럼, 떳떳함, 믿음, 약속, 죄책감, 규칙, 양심
· 강화 방안: '제가 생각하는 도덕성이란 제 자신이 부끄럽지 않은 사람이 되는 것 — 스스로 생각하기에 부끄러운 짓을 하지 않는 것'
· MIT 희망 전공: 외국어문학, 경영·경제, 의료 → 추천: 외국어문학, 음악, 주거(인테리어)·의류(의상디자이너)
· 선호 계열: 인문계열
· 불일치 해석: 희망 전공은 하고 싶어서가 아니라 사회적으로 인정받고 안정적인 것을 고려해 고른 것이라는 취지
· 선호 직무: 글로벌형 / 직업 가치: 안정성 &gt; 경제적 풍족 &gt; 사회적 인정</t>
        </is>
      </c>
      <c r="E8" s="5" t="inlineStr">
        <is>
          <t>'하고 싶은 것'보다 '안정·인정'을 고려해 희망 전공을 골랐다고 스스로 성찰함 — 신소연·엄시호·주하랑과 같은 고민 유형. 강화 방안 서술이 진정성 있음.</t>
        </is>
      </c>
      <c r="F8" s="5" t="inlineStr">
        <is>
          <t>불일치 해석 일부 판독 어려움</t>
        </is>
      </c>
    </row>
    <row r="9" ht="138"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조사: 통역사, 의상디자이너(내용 미기재), 범죄심리분석관, 작곡가
· 토너먼트 최종: 의상디자이너 (선택 이유: '내가 만든 옷으로 패션쇼를 열어 보고 싶어서')
· 범죄심리분석관 포기 이유: '의상디자이너가 너무 하고 싶어서'
· 가치관 성찰: '의상디자이너는 성공하기 너무 힘든 직업이라고 생각해서, 제가 1순위로 고른 안정성과는 거리가 먼 것 같아요'</t>
        </is>
      </c>
      <c r="E9" s="5" t="inlineStr">
        <is>
          <t>하고 싶은 직업(의상디자이너)과 1순위 가치(안정성)가 맞지 않는다는 점을 스스로 인식함 — 상담 시 다뤄 볼 만한 서술.</t>
        </is>
      </c>
      <c r="F9" s="5" t="inlineStr">
        <is>
          <t>의상디자이너 칸 내용, 명함 미기재</t>
        </is>
      </c>
    </row>
    <row r="10" ht="68"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학번·이름만 기재, 내용 전체 미기재</t>
        </is>
      </c>
      <c r="E10" s="5" t="inlineStr">
        <is>
          <t>활동지를 작성하지 않음.</t>
        </is>
      </c>
      <c r="F10" s="5" t="inlineStr">
        <is>
          <t>전체 미기재</t>
        </is>
      </c>
    </row>
    <row r="11" ht="138"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패션디자인학과 / 관심 대학: 세종대
· 학과 개요: 새로운 의상을 고안하고 옷을 디자인
· 연결 포인트: '옷이 좋아서'
· 고교 관련 과목: 미술 / 대학 주요 교과목: 색채학, 스케치 기법, 소묘
· 자격증: 패션디자인산업기사 / 진출: 쇼핑몰
· 다짐: 꾸준히 연습 제대로 하기(일부 판독 어려움)</t>
        </is>
      </c>
      <c r="E11" s="5" t="inlineStr">
        <is>
          <t>1-5 의상디자이너 선택이 패션디자인학과로 이어짐. 1-4 추천 전공(주거·의류)과도 연결됨.</t>
        </is>
      </c>
      <c r="F11" s="5" t="inlineStr">
        <is>
          <t>학과 전망 미기재</t>
        </is>
      </c>
    </row>
    <row r="12" ht="124"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모집 인원 칸에 자료와 다른 숫자 기재(확인 필요), 전형 방법 — 교과 70%+교과 관련 서류종합평가 30%·미적용 / 종합 서류종합평가 100%, 면접 40%+1단계 60%·미적용 / 논술 학생부 30%(교과 20+출결 10)+논술 70%·적용 / 정시 '수능 60%·실기 40%'로 기재
· 준비도 별점: 미기재</t>
        </is>
      </c>
      <c r="E12" s="5" t="inlineStr"/>
      <c r="F12" s="5" t="inlineStr">
        <is>
          <t>별점, step2(도전 대입 전형 설계) 미기재</t>
        </is>
      </c>
    </row>
    <row r="13" ht="82"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학번·이름 포함 전체 미기재</t>
        </is>
      </c>
      <c r="E13" s="5" t="inlineStr">
        <is>
          <t>1학기 마무리 활동 미작성 — 의상디자이너(하고 싶은 것)와 안정성(가치) 사이의 고민을 정리해 볼 기회가 필요해 보임.</t>
        </is>
      </c>
      <c r="F13" s="5" t="inlineStr">
        <is>
          <t>전체 미기재</t>
        </is>
      </c>
    </row>
    <row r="14" ht="166"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2025학년도 컴퓨터공학
· 개인 평가: 학업 C&gt;B&gt;A, 진로 B&gt;C&gt;A(수정 흔적)
· 이유: 학업—'C는 모든 성적이 완벽해서 뽑았고 B는 A보다 이과 과목 성적이 좋아서' / 진로—B 관련 짧은 메모(판독 어려움)
· 조별 예상 C&gt;A&gt;B → 실제 결과 C&gt;A&gt;B (완전 일치)
· 느낀 점: '진짜 재미있었습니다. 최고' / 배운 점: '객관적으로 생기부를 보고 판단할 수 있게 되었습니다'</t>
        </is>
      </c>
      <c r="E14" s="5" t="inlineStr">
        <is>
          <t>활동 만족도가 높음. 예상 완전 일치.</t>
        </is>
      </c>
      <c r="F14" s="5" t="inlineStr">
        <is>
          <t>공동체 역량 미기재 / 진로 이유 판독 어려움</t>
        </is>
      </c>
    </row>
    <row r="15" ht="136"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습관형성 (A란 '관심사 탐구형'에도 체크, 이름란에 짝 표시)
· 선택 이유: 새로운 도전(예: 일찍 일어나기, 독서하기)을 해보려 해도 기본 자세·마음가짐이 제대로 준비되지 않아 실천하려 해도 제대로 시작해 본 적이 없음. 진로가 불확실해서, 어떤 진로든 제대로 준비하려면 먼저 성실한 태도가 필요할 것 같아서
· C란 닮고 싶은 사람: 소크라테스 (습관 설명 없음)</t>
        </is>
      </c>
      <c r="E15" s="5" t="inlineStr">
        <is>
          <t>'진로가 불확실하다', '제대로 시작해 본 적이 없다'고 스스로를 솔직하게 돌아봄. 성실한 태도를 진로 준비의 기본으로 인식한 점은 긍정적.</t>
        </is>
      </c>
      <c r="F15" s="5" t="inlineStr">
        <is>
          <t>습관이 중요한 이유, 개선하고 싶은 습관, 8차시 계획, 한 줄 다짐, 자가 점검 미기재</t>
        </is>
      </c>
    </row>
    <row r="16" ht="122"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(1차시엔 습관형성을 선택했으나 2차시는 주제탐구 활동지로 작성, 'with 장하윤')
· 핵심 탐구 질문: 방사선 전문성의 중요성을 알리기 위해 병원은 어떤 마케팅 전략을 사용할 수 있을까?
· 하위 질문 ①: 사람들은 방사선사의 전문성 중 사람들이 잘 모르는 부분은 무엇일까?
· 하위 질문 ②③: 연하게 썼다 지운 흔적만 남아 판독 어려움</t>
        </is>
      </c>
      <c r="E16" s="5" t="inlineStr">
        <is>
          <t>트랙이 습관형성 → 주제탐구로 바뀌고 짝(장하윤)과 공동 주제로 진행. 하위 질문 ①은 장하윤보다 한 단계 더 진행됨. 최종 트랙 확인 필요.</t>
        </is>
      </c>
      <c r="F16" s="5" t="inlineStr">
        <is>
          <t>하위 질문 ②③ 판독 어려움(원본 확인 필요), 자료원 미기재 / 트랙 변경 확인 필요</t>
        </is>
      </c>
    </row>
    <row r="17" ht="270"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3개
· 짝 장하윤과 출처·요약 문장이 거의 똑같음
· ① 의학신문 '의료 방사선 조사에서 지식 수준, 정보원, 선량 정보 제공에 대한 응답률': 의료 방사선의 이익은 잘 알지만 위험성은 보통 이상으로 느낌
· ② 보건복지부 법령 해석 정보 '의료광고의 심의': 방사선사가 검사·의료 영상을 홍보 콘텐츠에 활용할 때 의료광고법 규정 고려
· ③ 한국콘텐츠학회 논문지 제26권 제1호: 전문성과 신뢰성이 환자의 추천·재이용에 영향을 주므로 방사선사의 정확한 검사와 안전관리 등을 보여 주기</t>
        </is>
      </c>
      <c r="E17" s="5" t="inlineStr">
        <is>
          <t>2차시에 이어 장하윤과 공동 주제로 진행 중이며, 이번 활동지는 짝과 문장까지 같음. 공동 탐구라면 역할(누가 어떤 자료를 찾았는지)을 나누어 적도록 안내 필요. 1차시 습관형성에서 트랙이 바뀐 상태라 최종 트랙 확인도 필요함.</t>
        </is>
      </c>
      <c r="F17" s="5" t="inlineStr">
        <is>
          <t>자료 ④·⑤, 나의 생각/메모 미기재 / 짝(장하윤)과 내용 동일</t>
        </is>
      </c>
    </row>
  </sheetData>
  <mergeCells count="2">
    <mergeCell ref="A2:F2"/>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10420 최송이)</t>
        </is>
      </c>
    </row>
    <row r="2">
      <c r="A2" s="2" t="inlineStr">
        <is>
          <t>※ 활동지 스캔본(PDF)을 바탕으로 정리. 필체 판독이 어렵거나 학생이 미기재한 항목은 '판독 어려움/미기재'로 표기함. 이번 스캔본에 포함되지 않은 차시: 1-2, 1-3, 1-4.</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52"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자기소개 문제: 출신 중학교, MBTI는 ESFJ, 비행기를 타 봤다
· 질문지: 진로를 말할 수 있다·공부 알고 노력·상담 경험 '보통', 꿈을 위해 노력·가족과 꿈 이야기 '그렇지 않다'
· 상담 상대: 교사, 선배·친구 / 중요 요소: 나의 소질과 적성, 부모님 의견 / 정보 탐색: 인터넷, 진로 상담 / 노력: 진로 상담을 통한 탐색
· 어려움: 생각하는 진로가 너무 많아서, 부모님과 의견이 달라서(정보 탐색 어려움에도 표시된 듯)</t>
        </is>
      </c>
      <c r="E5" s="5" t="inlineStr">
        <is>
          <t>진로 후보가 많고 부모님과 의견이 다르다고 응답 — 상담 시 참고.</t>
        </is>
      </c>
      <c r="F5" s="5" t="inlineStr">
        <is>
          <t>진진가 퀴즈, 원하는 진로활동, 약속, 깨달은 점, 다섯 글자 다짐 미기재</t>
        </is>
      </c>
    </row>
    <row r="6" ht="68"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이번 스캔본에 해당 차시 활동지가 포함되어 있지 않음</t>
        </is>
      </c>
      <c r="E6" s="5" t="inlineStr"/>
      <c r="F6" s="5" t="inlineStr">
        <is>
          <t>1-2 활동지 없음(원본 확인 필요)</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이번 스캔본에 해당 차시 활동지가 포함되어 있지 않음</t>
        </is>
      </c>
      <c r="E7" s="5" t="inlineStr"/>
      <c r="F7" s="5" t="inlineStr">
        <is>
          <t>1-3 활동지 없음(원본 확인 필요)</t>
        </is>
      </c>
    </row>
    <row r="8" ht="68"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이번 스캔본에 해당 차시 활동지가 포함되어 있지 않음</t>
        </is>
      </c>
      <c r="E8" s="5" t="inlineStr"/>
      <c r="F8" s="5" t="inlineStr">
        <is>
          <t>1-4 활동지 없음(원본 확인 필요)</t>
        </is>
      </c>
    </row>
    <row r="9" ht="68"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소셜 미디어 마케터, 방송 진행자, 외교관(내용 미기재), 사회복지사
· 토너먼트 최종: 소셜 미디어 마케터</t>
        </is>
      </c>
      <c r="E9" s="5" t="inlineStr"/>
      <c r="F9" s="5" t="inlineStr">
        <is>
          <t>선택·포기 이유, 명함 미기재</t>
        </is>
      </c>
    </row>
    <row r="10" ht="208"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비행기 승무원
· AI 대체: 기내 안내방송 자동화, 승객 정보 관리, 간단한 고객 응대
· AI 협업: 승객 맞춤 서비스 제공, 응급 상황 대응 보조, 외국인 승객 번역 지원
· 대체 불가: 승객을 안심시키는 공감 능력, 위급 상황에서의 판단력과 책임감, 따뜻한 인간적 서비스
· 체크: 'AI가 예상보다 더 많이 대체할 수 있었다'
· 새로 알게 된 점: '승객 정보 관리를 할 수 있다는 것이 놀라웠다'
· 키울 역량: 공감 능력, 따뜻한 인간적 서비스('사람의 따뜻함은 사람만 느끼게 할 수 있어서'), 판단력과 책임감(위급 상황에서의 판단·책임)</t>
        </is>
      </c>
      <c r="E10" s="5" t="inlineStr">
        <is>
          <t>1-5 최종 선택(소셜 미디어 마케터)과 달리 승무원을 분석 — 이 차시부터 승무원 진로가 등장.</t>
        </is>
      </c>
      <c r="F10" s="5" t="inlineStr">
        <is>
          <t>준비 1가지, 명함 업그레이드, 모둠 토론 미기재</t>
        </is>
      </c>
    </row>
    <row r="11" ht="236"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항공서비스과·항공운항과·항공관광과(사회계열) / 관심 대학: 인하공전
· 학과 개요: 전문 서비스 지식·외국어·IT 교육 등으로 글로벌 시대를 주도하는 항공 승무원·서비스 전문인, 국제화된 전문인을 양성하는 교육과정
· 연결 포인트: 주변 사람들에 대한 애정과 일에 대한 성실함, 사람들을 대하는 것과 서비스직을 좋아함
· 고교 관련 과목: 영어, 사회·문화, 중국어, 과학
· 대학 주요 교과목: 이미지메이킹, 서비스 어학, 고객행동과 심리, 승무원 체험 프로그램
· 자격증: CPR, 어학 자격증(TOEIC) 등 / 진출: 항공사, 대기업 비서직, 호텔, 국제 크루즈
· 다짐: 교과 내신 채우기, 승무원 관련 정보 알아보기</t>
        </is>
      </c>
      <c r="E11" s="5" t="inlineStr">
        <is>
          <t>완성도 높음. 전문대(인하공전) 항공 계열을 구체적으로 조사함.</t>
        </is>
      </c>
      <c r="F11" s="5" t="inlineStr">
        <is>
          <t>학과 전망 미기재</t>
        </is>
      </c>
    </row>
    <row r="12" ht="124"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 70%+서류종합 30%·X / 종합 9명·1단계 서류종합 100%, 2단계 면접 40%+1단계 60%·X / 논술 5명·논술 70%+교과 20%+출결 10%·O / 정시 9명·수능 80%+학생부 평가 20%·X
· 준비도 별점: 교과·실기·정시 2개, 종합 2개, 논술 1개</t>
        </is>
      </c>
      <c r="E12" s="5" t="inlineStr">
        <is>
          <t>사전 연습 표를 정확하게 작성.</t>
        </is>
      </c>
      <c r="F12" s="5" t="inlineStr">
        <is>
          <t>step2(도전 대입 전형 설계) 전체 미기재</t>
        </is>
      </c>
    </row>
    <row r="13" ht="236"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승무원, 희망 학과 항공과, 목표 대학 인하공전(항공운항과)·사회계열 모두 '그대로 유지' / 유지 이유: '승무원이 하고 싶기 때문에'
· 최종 진로 목표: 사회계열 / 승무원 / 항공운항과 / 인하공전
· 과목 선택 설계: 국어(발표)—주제탐구독서, 수학(계산 능력)—확률과 통계, 영어(외국어 의사소통)—영어 회화 관련, 사회(세계 문화 이해)—세계지리, 과학(항공 안전 이해)—생활과 과학, 기타(제2외국어 활용)—중국어
· 대입 전형: 수시 학생부 교과·종합 / 2학기 집중 과제: 내신 올리기
· 2학기 다짐: '1학기 때는 공부를 안 해 미이수를 간신히 벗어났지만, 2학기 때는 내신을 많이 올려야겠다'</t>
        </is>
      </c>
      <c r="E13" s="5" t="inlineStr">
        <is>
          <t>영역별 연결 포인트와 과목을 모두 채운, 최종 활동지 완성도가 가장 높은 학생 중 하나. 다만 5차시 직업을 '승무원 그대로 유지'로 적었으나 실제 1-5 선택은 '소셜 미디어 마케터'였음 — 기록 불일치. 다짐에 '미이수를 간신히 벗어났다'고 직접 적어, 학업 이수 상황을 담임·교과 선생님과 함께 확인해 볼 필요가 있음.</t>
        </is>
      </c>
      <c r="F13" s="5" t="inlineStr"/>
    </row>
    <row r="14" ht="264"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2024학년도 조선해양공학과
· 순위 칸에 학생(A·B·C) 대신 평가 요소(성적·탐구·활동·소통 등)의 우선순위를 적음
· 이유: 학업—수학·과학 성취도가 높고 수업 내용을 바탕으로 관련 기술·양자컴퓨터 등을 스스로 탐구해 학습을 확장 / 진로—자율주행 자동차 프로젝트를 1~3학년에 걸쳐 발전시키고 차선 인식·위험 모델링을 탐구하며 바다에서의 자율주행으로 관심을 구체화 / 공동체—동아리 갈등과 무임승차 문제를 대화로 해결하고 수학·과학 멘토링과 교육 봉사로 지식을 나눔
· 조별 예상 B&gt;A&gt;C → 실제 결과 B, A=C
· 느낀 점: 입학사정관은 성적만 보는 것이 아니라 관심 분야에서 어떤 노력을 했고 그 과정에서 무엇을 배우고 성장했는지를 중요하게 평가한다는 것을 알게 됨
· 배운 점: 교과 성적뿐 아니라 수업 참여, 진로와 연결된 탐구, 협력·소통 경험이 역량을 보여주는 중요한 요소임</t>
        </is>
      </c>
      <c r="E14" s="5" t="inlineStr">
        <is>
          <t>반에서 가장 완성도 높은 응답. 근거를 학생부의 구체적 활동으로 제시해 작성 가이드를 가장 잘 반영함. 순위 칸 기재 방식만 활동 의도와 다름.</t>
        </is>
      </c>
      <c r="F14" s="5" t="inlineStr">
        <is>
          <t>배운 점 끝부분 잘림</t>
        </is>
      </c>
    </row>
    <row r="15" ht="290"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주제탐구(진로연계형)
· 선택 이유: 승무원 직업에 관심이 있어 조사·분석·PPT 제작을 승무원과 관련해 제대로 해보고 싶어서
· 관심 분야 3가지: 승무원, 지상직원, 호텔관리자
· 그렇게 생각한 이유: 사람들과 소통하는 것을 좋아하고 여행과 항공 분야에 관심이 있음
· 잠정 탐구 주제: 승무원에게 필요한 의사소통 능력과 협업 능력
· 주제 선택 이유: 승무원은 승객과 소통하고 다른 승무원들과 협력해야 하므로 의사소통·협업 능력이 중요하다고 생각함
· 8차시 계획: 2 승무원의 의사소통·협업 능력 알아보기(탐구자료) → 3 관련 자료 조사·탐구 방향과 목표 정하기(조사자료) → 4 의사소통·협업 능력 분석(탐구 내용 정리) → 5 조사 자료 분석·느낀 점 정리(분석자료) → 6 탐구 내용 PPT 정리·발표 준비(PPT) → 7 발표 후 친구들 의견 듣기(발표 및 결과정리)
· 한 줄 다짐: 끝까지 적극적으로 참여해서 승무원에게 필요한 역량을 알아보자</t>
        </is>
      </c>
      <c r="E15" s="5" t="inlineStr">
        <is>
          <t>진로(승무원)-관심-주제-계획이 일관되게 연결되고 차시별 산출물까지 구체적임. 완성도 높음.</t>
        </is>
      </c>
      <c r="F15" s="5" t="inlineStr">
        <is>
          <t>자가 점검 미체크</t>
        </is>
      </c>
    </row>
    <row r="16" ht="178"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항공 승무원의 서비스 태도는 승객의 항공사 이용 만족도에 어떤 영향을 미치는가?
· 하위 질문 ①: 항공 승무원의 서비스 태도에는 어떤 요소들이 포함되는가?
· 하위 질문 ②: 승무원의 친절한 응대와 전문적인 서비스는 승객 만족도에 어떤 영향을 미치는가?
· 하위 질문 ③: 승객 만족도를 높이기 위해 항공 승무원에게 필요한 서비스 역량은 무엇인가?
· 활용할 자료원: 파이낸셜뉴스(fnnews.com), KCI·DBpia의 항공서비스 관련 논문, 항공사 홈페이지, 국토교통부 항공 관련 자료, 항공 이용객 대상 설문조사</t>
        </is>
      </c>
      <c r="E16" s="5" t="inlineStr">
        <is>
          <t>1차시 주제를 '서비스 태도-승객 만족도'로 인과 관계가 드러나게 구체화함. KCI·DBpia·국토부 자료·설문조사까지 자료원 계획이 매우 구체적. 1차시에 이어 완성도 높음.</t>
        </is>
      </c>
      <c r="F16" s="5" t="inlineStr">
        <is>
          <t>없음</t>
        </is>
      </c>
    </row>
    <row r="17" ht="360"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5개 + 메모 (모두 KCI 학술 논문, 여백에 '5개 질문과 똑같은 출처' 메모)
· ① 「고객서비스 품질 향상을 위한 방안에 대한 역사적 고찰」(KCI, 2021): 객실 서비스에서 적절한 태도·공감·소통·정보 제공 등이 중요
· ② 「항공사 승무원의 직무 역량과 직무 몰입이 서비스 태도에 미치는 영향」(KCI): 대인관계·상황 대처 능력·전문 지식 등이 승무원의 서비스 역량에 중요
· ③ 「항공사 객실 승무원의 비언어적 커뮤니케이션과 고객 접점 인적 서비스 품질이 고객 만족과 브랜드 태도에 미치는 영향」(KCI, 2012): 표정·말투 등 비언어적 소통이 서비스 품질과 고객 만족에 중요
· ④ 「S항공사 온라인 리뷰 분석을 통한 서비스 품질 개선에 관한 연구」(KCI, 2025): 승무원 서비스가 고객의 서비스 평가에 큰 영향을 주는 요소로 나타남
· ⑤ 「AHP 기법을 활용한 항공사 객실승무원 교육훈련 내용의 상대적 중요도 및 우선순위에 관한 연구」(KCI, 2017): 승무원 교육에서 고객 응대법·기내 대화·서비스 태도 등이 중요
· 메모: '자료를 조사하며 승무원의 서비스 태도와 소통 능력이 승객 만족과 관련이 있다는 것을 알게 되었다. 승무원이 되기 위해 소통과 상황 대처 능력을 키우고 싶다.'</t>
        </is>
      </c>
      <c r="E17" s="5" t="inlineStr">
        <is>
          <t>KCI 논문 5편을 제목·연도까지 정확히 적고, 2차시 하위 질문(서비스 태도 요소, 승객 만족 영향, 필요 역량)에 모두 대응함. 메모에서 탐구 결과를 자신의 진로 준비(소통·상황 대처)로 연결함. 1~3차시 내내 승무원 진로가 일관됨.</t>
        </is>
      </c>
      <c r="F17" s="5" t="inlineStr">
        <is>
          <t>없음</t>
        </is>
      </c>
    </row>
  </sheetData>
  <mergeCells count="2">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10421 최준서)</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236"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선생님께: 재밌는 수업을 부탁하는 인사
· 자기소개 문제: 1번만 작성(일부 판독 어려움)
· 질문지: 진로를 말할 수 있다·가족과 꿈 이야기 '매우 그렇다', 꿈을 위해 노력·공부 알고 노력·상담 경험 '그렇다'
· 상담 상대: 교사, 학원 강사, 부모·친척, 선배·친구 / 중요 요소: 나의 소질과 적성 / 정보 탐색: 인터넷, 유튜브
· 노력: 틈틈이 정보 수집, 다양한 진로 체험 활동
· 어려움: 생각하는 진로가 너무 많아서, 진로 정보 탐색이 어려워서
· 약속: 성실하게 수업 참여하기(별표 위치 불분명)
· 깨달은 점: '나의 진로와 미래에 대해 좀 더 깊이 생각해 보았다' / 다섯 글자: '정신차려라'</t>
        </is>
      </c>
      <c r="E5" s="5" t="inlineStr">
        <is>
          <t>진로 탐색 문항 응답이 모두 긍정적 — 진로 자신감이 높은 편.</t>
        </is>
      </c>
      <c r="F5" s="5" t="inlineStr">
        <is>
          <t>진진가 퀴즈, 원하는 진로활동 미기재</t>
        </is>
      </c>
    </row>
    <row r="6" ht="82"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수능, 교과·종합, 최저, 5등급제·상위 10%, 수행+지필, 수행평가, 192학점, 진로, 1학년 여름방학, 세부능력 및 특기사항, 수업 적극 참여, 자율/동아리, 행동특성, 공통, 통합사회/통합과학, 역전, 주도성</t>
        </is>
      </c>
      <c r="E6" s="5" t="inlineStr">
        <is>
          <t>대부분 정확. 학종 평가 요소 칸은 영상 내용과 다르게 적음.</t>
        </is>
      </c>
      <c r="F6" s="5" t="inlineStr">
        <is>
          <t>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학번·이름만 기재, 내용 전체 미기재</t>
        </is>
      </c>
      <c r="E7" s="5" t="inlineStr">
        <is>
          <t>활동지를 작성하지 않음.</t>
        </is>
      </c>
      <c r="F7" s="5" t="inlineStr">
        <is>
          <t>전체 미기재</t>
        </is>
      </c>
    </row>
    <row r="8" ht="208"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①유머(조지 버나드 쇼) ②예술적 감수성(레오나르도 다빈치) ③원만성(넬슨 만델라)
· 핵심 강점 '유머' 연상어: 창의성, 순발력, 장난, 유튜버, 코미디, 스탠드업 코미디, 개그콘서트 / 강화 방안: 코미디 프로그램 방청 가기, 재밌는 유튜브 시청
· MIT 희망 전공: 전기·전자·컴퓨터, 의료, 음악 → 추천: 전기·전자·컴퓨터, 음악, 수학·물리
· 선호 계열: 공학계열
· 불일치 해석: '1위는 일치함. 의료 계열은 돈을 많이 벌고 사회적 인정이 있다니까 골랐는데, 검사에서는 그런 내용이 안 나와서 다르게 나온 것 같음'
· 선호 직무: 아이디어형 / 직업 가치: 안정성 &gt; 경제적 풍족 &gt; 사회적 인정</t>
        </is>
      </c>
      <c r="E8" s="5" t="inlineStr">
        <is>
          <t>1순위(전기·전자·컴퓨터)가 일치 — 이후 소프트웨어 진로로 이어짐. 의료 계열은 보상·인정 때문에 골랐다고 스스로 구분함.</t>
        </is>
      </c>
      <c r="F8" s="5" t="inlineStr"/>
    </row>
    <row r="9" ht="124"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게임 프로그래머, 로봇공학자, 사물인터넷 개발자, 응용소프트웨어 개발자 — 하는 일·필요 능력·관련 학과 작성
· 토너먼트 최종: 응용소프트웨어 개발자 (선택 이유: 게임 프로그래머보다 더 다양한 것을 할 수 있어서—일부 판독 어려움)
· 미래 명함: '최준서 — 응용SW 개발자'(그림 포함)</t>
        </is>
      </c>
      <c r="E9" s="5" t="inlineStr">
        <is>
          <t>4개 직업이 모두 IT·공학 분야로 관심 영역이 뚜렷함.</t>
        </is>
      </c>
      <c r="F9" s="5" t="inlineStr">
        <is>
          <t>선택·포기 이유 일부 판독 어려움</t>
        </is>
      </c>
    </row>
    <row r="10" ht="208"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응용소프트웨어 개발자
· AI 대체: 반복적 코드 작성, 단순 테스트 작업, 기본 앱·서비스 프로토타입 제작
· AI 협업: 대규모 시스템 설계, AI 기반 서비스 개발, UX 개선
· 대체 불가: 문제 정의 능력, 비즈니스·인간관계 이해, 책임과 윤리 판단
· 체크: 'AI가 예상보다 더 많이 대체할 수 있었다'
· 새로 알게 된 점: 'AI가 나의 예상보다 많이 대체할 수 있어서 놀랐다'
· 키울 역량: 문제 해결력, AI 리터러시(AI 시대에 매우 필요할 것 같아서), 창의적 사고(남들이 하지 못한 걸 할 수 있어서)</t>
        </is>
      </c>
      <c r="E10" s="5" t="inlineStr"/>
      <c r="F10" s="5" t="inlineStr">
        <is>
          <t>문제 해결력 이유, 준비 1가지, 명함 업그레이드, 모둠 토론 미기재</t>
        </is>
      </c>
    </row>
    <row r="11" ht="222"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컴퓨터공학과 / 관심 대학: 서강대학교
· 학과 개요: 기술적 난제에 적극적으로 대응할 수 있는, 사회와 국가에 필요한 인재를 양성
· 연결 포인트: '논리적 추리력과 사고력을 갖춘 나에게 컴퓨터공학과가 잘 맞는 것 같다'
· 고교 관련 과목: 수학, 정보, 물리학, 미적분, 확률과 통계
· 대학 주요 교과목: 자료구조, 운영체제, 알고리즘, 프로그래밍, 인공지능, 이산수학
· 자격증: 정보처리기사, 임베디드SW개발전문가 / 진출: IT 기업, 공공기관, 스타트업, 대학원 진학
· 다짐: 수학·과학 지식을 쌓고 수상 경력도 쌓아야 한다, 관련 동아리 활동도 해야 한다</t>
        </is>
      </c>
      <c r="E11" s="5" t="inlineStr">
        <is>
          <t>완성도 높음.</t>
        </is>
      </c>
      <c r="F11" s="5" t="inlineStr">
        <is>
          <t>학과 전망 미기재</t>
        </is>
      </c>
    </row>
    <row r="12" ht="96"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모집 인원 기재, 교과 전형 칸에 종합 전형 방법(서류종합평가 100%, 면접 등)을 적음, 논술 학생부 30%+논술 70%, 최저 적용 여부 표시
· 준비도 별점: 미기재
· step2: 대학 칸에 '동국대학교'만 기재</t>
        </is>
      </c>
      <c r="E12" s="5" t="inlineStr">
        <is>
          <t>교과·종합 전형 방법을 섞어 기재 — 전형별 구분 확인 필요.</t>
        </is>
      </c>
      <c r="F12" s="5" t="inlineStr">
        <is>
          <t>별점, step2 대부분 미기재</t>
        </is>
      </c>
    </row>
    <row r="13" ht="138"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응용소프트웨어 개발자 '그대로 유지', 희망 학과 컴퓨터공학과 '그대로 유지', 목표 대학 동국대 공학계열 → '부분 수정'
· 변경·유지 이유: '동국대학교 → 서강대학교, 목표를 크게 잡아야 될 것 같아서. 나머지는 바꿔야 할 필요성을 못 느껴서'
· 최종 진로 목표: 공학계열 / 응용소프트웨어 개발자 / 컴퓨터공학과 / 서강대학교
· 과목 선택: 수학—기하(진로 선택)만 기재</t>
        </is>
      </c>
      <c r="E13" s="5" t="inlineStr">
        <is>
          <t>1-4 → 1-5 → 1-6 → 1-7 → 최종까지 소프트웨어·컴퓨터공학으로 매우 일관됨. 목표 대학을 스스로 상향 조정함.</t>
        </is>
      </c>
      <c r="F13" s="5" t="inlineStr">
        <is>
          <t>과목 선택 설계 대부분, 대입 전형, 2학기 집중 과제·다짐 미기재</t>
        </is>
      </c>
    </row>
    <row r="14" ht="138"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2025학년도 컴퓨터공학과
· 개인 평가: 학업 C&gt;B&gt;A, 진로 C&gt;A&gt;B, 공동체 A&gt;C&gt;B (여백에 역량별 관점 메모)
· 이유: 학업 칸에 짧은 메모(판독 어려움)
· 조별 예상 C&gt;A&gt;B → 실제 결과 C&gt;A&gt;B (완전 일치)
· 느낀 점: '서울대 학생들의 생기부 퀄리티가 남다르다' / 배운 점: '서울대 학생들의 활동을 생각해야겠다'</t>
        </is>
      </c>
      <c r="E14" s="5" t="inlineStr">
        <is>
          <t>예상 완전 일치.</t>
        </is>
      </c>
      <c r="F14" s="5" t="inlineStr">
        <is>
          <t>진로·공동체 이유 미기재</t>
        </is>
      </c>
    </row>
    <row r="15" ht="276"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
· 선택 이유: 평소 관심 있던 소프트웨어 관련 산업에 대해 너무 얕은 지식을 가지고 있어 더 넓고 깊은 지식을 갖고 싶었음
· 관심 분야 3가지: 소프트웨어, 역사, 피아노
· 그렇게 생각한 이유: 어렸을 때부터 부모님의 핸드폰·컴퓨터 같은 전자기기가 발달하는 모습을 보며 자연스럽게 소프트웨어에 친숙해지고 좋아하게 됨
· 잠정 탐구 주제: AI 모델의 편향성과 공정성 검증
· 주제 선택 이유: 평소 자주 사용하고 신뢰하는 AI 모델의 신뢰성을 검증하고 그 원인을 찾아보고 싶었음
· 8차시 계획: 2 세부 주제 정하기(세부 계획서) → 3 AI 모델 편향성 자료 수집 → 4 공정성 관련 자료 수집 → 5 수집 자료 비교·검증 → 6 발표 PPT 제작(1차) → 7 모둠 발표 및 이야기(2차 PPT)
· 한 줄 다짐: 주제가 신뢰와 검증인 만큼 찾아본 정보와 자료를 면밀히 검증해 신뢰할 수 있는 좋은 포트폴리오를 만들겠다</t>
        </is>
      </c>
      <c r="E15" s="5" t="inlineStr">
        <is>
          <t>주제와 다짐('검증'을 탐구 태도로 연결)이 일관되고 계획이 구체적임. 소프트웨어 진로 관심이 뚜렷함.</t>
        </is>
      </c>
      <c r="F15" s="5" t="inlineStr">
        <is>
          <t>자가 점검 1개만 체크</t>
        </is>
      </c>
    </row>
    <row r="16" ht="220"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AI 모델의 편향성은 어떻게 사회적 편견을 고착화시키며, 이를 해결하기 위한 기술적·제도적 대안은 무엇인가
· 하위 질문 ①: 사용자가 AI에게 던지는 편향된 유도 질문(확증 편향)이 AI의 답변 왜곡을 어떻게 심화시키는가?
· 하위 질문 ②: AI가 학습한 데이터 속 성별·인종·직업에 대한 고정관념이 실제 결과물에는 어떻게 나타나는가?
· 하위 질문 ③: AI의 편향성을 줄이기 위한 기술적 조치와 이를 검증하기 위한 법적·윤리적 가이드라인은 어떻게 설계되어야 하는가?
· 활용할 자료원: 관련 기사 및 논문 조사, IBM AI 가이드, 사례 예시, AI에게 직접 질문하면서 조사하기</t>
        </is>
      </c>
      <c r="E16" s="5" t="inlineStr">
        <is>
          <t>탐구 질문의 수준이 매우 높음(확증 편향·학습 데이터 편향·제도적 대안까지 단계적 구성). AI에게 직접 질문하는 실험적 방법까지 계획한 점이 돋보임. 1·2차시 모두 반 최상위 완성도.</t>
        </is>
      </c>
      <c r="F16" s="5" t="inlineStr">
        <is>
          <t>자료원 일부 표현 판독 어려움</t>
        </is>
      </c>
    </row>
    <row r="17" ht="252"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3개
· ① 경남ICT협회 「생성형 AI 질문 편향 문제와 해결 방안」: 사용자가 기존 믿음이나 선입견을 반영한 질문을 던지면 AI는 원하는 답을 내놓고, 믿음과 선입견이 강화·고착화됨. 이를 해결하기 위한 5W1H·다관점·비판적 질문
· ② YTN 사이언스 「AI가 내놓은 '오답', 이유는 당신의 '질문'」: 유도 질문 편향 때문에 더 나은 제안을 거부하게 됨(효과 이름 판독 어려움)
· ③ 정신의학신문 「보이지 않는 편견, 편리한 이야기: AI와 성 고정관념」: AI는 인간이 만든 데이터로 학습하므로 아무리 기술이 발달해도 사람들의 생각이 바뀌지 않는 이상 AI의 고정관념은 바뀔 수 없음</t>
        </is>
      </c>
      <c r="E17" s="5" t="inlineStr">
        <is>
          <t>2차시 하위 질문 ①(유도 질문과 확증 편향)·②(데이터 속 고정관념)에 정확히 맞는 자료를 골라 요약함. 하위 질문 ③(기술적·제도적 대안)에 해당하는 자료는 아직 없어 다음 차시에 보완하면 좋겠음.</t>
        </is>
      </c>
      <c r="F17" s="5" t="inlineStr">
        <is>
          <t>자료 ④·⑤, 나의 생각/메모 미기재 / 자료 ② 일부 판독 어려움</t>
        </is>
      </c>
    </row>
  </sheetData>
  <mergeCells count="2">
    <mergeCell ref="A2:F2"/>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10422 최환)</t>
        </is>
      </c>
    </row>
    <row r="2">
      <c r="A2" s="2" t="inlineStr">
        <is>
          <t>※ 활동지 스캔본(PDF)을 바탕으로 정리. 필체 판독이 어렵거나 학생이 미기재한 항목은 '판독 어려움/미기재'로 표기함. 이번 스캔본에 포함되지 않은 차시: 1-3.</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94"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진진가 퀴즈 답: 2번 / 선생님께: '안녕하세요 쌤'
· 자기소개 문제: 모두 강아지 관련(집 강아지 이름, 6학년 때 강아지를 키웠다, 강아지를 두 마리 키운다)
· 질문지: 진로를 말할 수 있다·꿈을 위해 노력·가족과 대화·공부 알고 노력 '그렇지 않다', 상담 경험 '매우 그렇지 않다'
· 상담 상대: 부모·친척 / 중요 요소: 나의 소질과 적성 / 정보 탐색: 인터넷 / 노력: 기타('모르겠음')
· 어려움: 나의 특성에 대해 몰라서, 진로 정보 탐색이 어려워서</t>
        </is>
      </c>
      <c r="E5" s="5" t="inlineStr">
        <is>
          <t>진로 탐색 문항 5개 모두 부정 응답 — 진로 확신과 대화·상담 경험이 적은 상태. 다만 자기소개 3문제가 모두 강아지 이야기일 만큼 동물에 대한 애정이 뚜렷함.</t>
        </is>
      </c>
      <c r="F5" s="5" t="inlineStr">
        <is>
          <t>원하는 진로활동, 약속, 깨달은 점, 다섯 글자 다짐 미기재</t>
        </is>
      </c>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전부 작성: 수능, 학생부 교과·학생부 종합, 최저학력, 5등급제·상위 10%, 지필+수행, 수행평가, 192학점, 희망 진로, 1학년 여름방학, 과정, 세부능력 및 특기사항(세특), 수업에 적극적으로 참여, 자율/동아리, 행동특성 및 종합의견, 공통, 통합사회/통합과학, 역전, 주도성</t>
        </is>
      </c>
      <c r="E6" s="5" t="inlineStr">
        <is>
          <t>빈칸을 모두 정확히 채움.</t>
        </is>
      </c>
      <c r="F6" s="5" t="inlineStr">
        <is>
          <t>앞면 학번·이름, 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이번 스캔본에 해당 차시 활동지가 포함되어 있지 않음</t>
        </is>
      </c>
      <c r="E7" s="5" t="inlineStr"/>
      <c r="F7" s="5" t="inlineStr">
        <is>
          <t>1-3 활동지 없음(원본 확인 필요)</t>
        </is>
      </c>
    </row>
    <row r="8" ht="180"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①감성 회복력(헬렌 켈러) ②유머(조지 버나드 쇼) ③원만성(넬슨 만델라)
· 핵심 강점 '감성 회복력' 연상어: 실패, 활동, 도움, 극복, 상황, 경험, 방법, 능력 / 강화 방안: 실패·시련 등 경험하기(일부 판독 어려움)
· MIT 희망 전공: 무용·체육, 농림·축산, 복지·상담 → 추천: 무용·체육, 간호·보건, 식품·조리
· 선호 계열: 자연계열 / 일치 여부 성찰: '잘 모르겠습니다'
· 선호 직무: 아이디어형 / 직업 가치: 사회봉사 &gt; 안정성 &gt; 경제적 풍족</t>
        </is>
      </c>
      <c r="E8" s="5" t="inlineStr">
        <is>
          <t>직업 가치 1순위로 '사회봉사'를 고름 — 동물·사람을 돌보는 진로 관심과 연결됨.</t>
        </is>
      </c>
      <c r="F8" s="5" t="inlineStr"/>
    </row>
    <row r="9" ht="110"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보육교사, 동물조련사, 사회복지사, 군인 — 하는 일·필요 능력·관련 학과를 충실히 작성
· 토너먼트 최종: 동물조련사 (선택 이유: '동물이 좋아서')
· 사회복지사 선택 이유: '사람들이 좋아서' / 포기 이유: '자신이 없어서'</t>
        </is>
      </c>
      <c r="E9" s="5" t="inlineStr">
        <is>
          <t>사회복지사를 '자신이 없어서' 포기했다고 적음 — 자신감 측면에서 참고.</t>
        </is>
      </c>
      <c r="F9" s="5" t="inlineStr">
        <is>
          <t>명함 미기재</t>
        </is>
      </c>
    </row>
    <row r="10" ht="180"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동물조련사
· AI 대체: 동물의 일상 데이터 및 건강 상태 모니터링, 훈련 진척도 기록 및 스케줄 자동화
· AI 협업: 보호자 교육 시뮬레이션 및 교육 제공, 개인 맞춤형 최적 훈련 시나리오 설계
· 대체 불가: 동물과의 신뢰·유대 형성과 정서적 교감, 보호자의 심리와 마음까지 치유하는 상담과 공감
· 체크: '내 생각이 AI 답과 거의 같았다'
· 새로 알게 된 점: 'AI가 이렇게 발전되어 많이 놀랐고, 너무 자세히 알려 줘서 놀랐다'
· 키울 역량: 공감 능력, 리더십(리더십이 있어야 당당하게 말할 수 있어서), 감성 지능</t>
        </is>
      </c>
      <c r="E10" s="5" t="inlineStr">
        <is>
          <t>1-5 최종 선택과 연결된 직무 분석. 같은 모둠(김강민·주하랑·진영원)의 '동물조련사' 모둠원으로 보임.</t>
        </is>
      </c>
      <c r="F10" s="5" t="inlineStr">
        <is>
          <t>준비 1가지, 명함 업그레이드, 모둠 토론 미기재</t>
        </is>
      </c>
    </row>
    <row r="11" ht="110"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특수동물학과 / 관심 대학: 한양대 ERICA
· 학과 개요: 반려동물의 사육·생산 관리, 미용 관리, 질병 예방 관리 등의 교육과정을 통해 반려동물 관련 전문인을 기르는 학과
· 연결 포인트: 따뜻한 감성과 생명 윤리 의식, 동물과 인간의 행복한 삶을 꿈꿈(일부 판독 어려움)</t>
        </is>
      </c>
      <c r="E11" s="5" t="inlineStr">
        <is>
          <t>1-1 자기소개부터 1-5 → 1-6 → 1-7까지 동물 분야로 일관됨.</t>
        </is>
      </c>
      <c r="F11" s="5" t="inlineStr">
        <is>
          <t>고교 관련 과목, 대학 주요 교과목, 자격증, 진출 분야, 학과 전망, 다짐 미기재</t>
        </is>
      </c>
    </row>
    <row r="12" ht="124"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 70%+서류종합평가 30%·X / 종합 9명·서류종합평가 100%, 1단계 성적 60% 등·X / 논술 5명·학생부 30%(교과 20+출결 10)+논술 70%·O / 정시 '수능 60%·실기 40%'로 기재
· 준비도 별점: 교과·종합 2개, 논술·실기·정시 1개</t>
        </is>
      </c>
      <c r="E12" s="5" t="inlineStr"/>
      <c r="F12" s="5" t="inlineStr">
        <is>
          <t>step2(도전 대입 전형 설계) 전체 미기재</t>
        </is>
      </c>
    </row>
    <row r="13" ht="82"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학번·이름만 기재, 나머지 전체 미기재</t>
        </is>
      </c>
      <c r="E13" s="5" t="inlineStr">
        <is>
          <t>1학기 마무리 활동 미작성. 동물 분야 진로가 일관되므로 과목 선택 설계를 개별로 도와주면 좋을 것으로 보임.</t>
        </is>
      </c>
      <c r="F13" s="5" t="inlineStr">
        <is>
          <t>전체 미기재</t>
        </is>
      </c>
    </row>
    <row r="14" ht="110"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2024학년도 사범대학 교육학과
· 개인 평가: 학업 A&gt;B&gt;B(중복 기재)
· 학업 이유: '이 사람은 골고루 다 잘하지만 특히 사회, 수학을 잘해서 골랐다'</t>
        </is>
      </c>
      <c r="E14" s="5" t="inlineStr">
        <is>
          <t>학업 역량만 작성하고 이후 활동이 중단됨.</t>
        </is>
      </c>
      <c r="F14" s="5" t="inlineStr">
        <is>
          <t>진로·공동체 역량, 예상·실제 결과, 느낀 점·배운 점 미기재</t>
        </is>
      </c>
    </row>
    <row r="15" ht="220"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습관형성 (이름란에 '김강민 with 최환' 기재)
· 선택 이유: 삶을 너무 불규칙적으로 살아서 이번 기회에 습관형성 프로젝트를 선택함
· 닮고 싶은 사람과 습관: 이정재(배우) - 작품이 있든 없든 아침에 일어나 아침 운동으로 하루를 시작함 (B란에 먼저 썼다가 지우고 C란에 다시 작성)
· 습관이 진로에 중요한 이유: 하루하루 간단한 좋은 습관 하나하나가 나중에 소중한 습관이 되고 큰 변화를 만들 수 있음
· 개선하고 싶은 습관: 불규칙적인 스마트폰 사용, 운동하지 않는 것
· 8차시 계획: 2 자기의 운동(?) 확인 → 3 운동 계획 짜기 → 4~7 실천
· 한 줄 다짐: '화이팅!'</t>
        </is>
      </c>
      <c r="E15" s="5" t="inlineStr">
        <is>
          <t>10403 김강민과 짝 활동으로 중요 이유·개선 습관·계획 문구가 거의 같음(롤모델만 다름).</t>
        </is>
      </c>
      <c r="F15" s="5" t="inlineStr">
        <is>
          <t>자가 점검 3개 중 2개만 체크</t>
        </is>
      </c>
    </row>
    <row r="16" ht="262" customHeight="1">
      <c r="A16" s="4" t="inlineStr">
        <is>
          <t>p-2</t>
        </is>
      </c>
      <c r="B16" s="5" t="inlineStr">
        <is>
          <t>개별 진로 프로젝트 2차시(습관형성): 원인분석·목표설정 - 나를 돌아보고, 목표 세우기</t>
        </is>
      </c>
      <c r="C16" s="5" t="inlineStr">
        <is>
          <t>최근 목표·계획 돌아보기 → 목표 달성·계획 실행 정도 자기평가 → 어려움(장애물)과 개선방안 → SMART 기법으로 습관 목표 구체화 → 실천 확인(인증) 방법 → 모둠 의견 후 최종 습관 목표</t>
        </is>
      </c>
      <c r="D16" s="5" t="inlineStr">
        <is>
          <t>· ('with 김강민')
· 최근 목표: 하루 한 번은 꼭 운동하기 / 계획: 일주일 운동해서 건강해지기
· 자기평가: 목표 달성 '만족', 계획 실행 '만족' / 이유: 그래도 꾸준히 잘 해
· 어려움 → 개선방안: ① 원래 운동학원을 다니는데 또 운동하려니 조금 힘들었음 → 집 운동 강도 줄이기 ② 없음
· SMART 목표 - 운동 습관 만들기
  S: 밤에 간단하게 운동 종류 5가지를 20개씩 하기 / M: 메모장에 하루하루 운동했는지, 몇 개 했는지 기록 / A: 지금은 20개만 하지만 나중에 숫자를 늘린다 / R: 운동을 꾸준히 해서 체력을 올리고 나중에는 20개 정도는 쉽게 하기 / T: 1학년 남은 시간 동안 해보고 좋으면 2학년에도 도전
· 확인 방법: 습관 기록 앱·캘린더 캡처
· 최종 습관 목표: 5개 운동 종류 20개씩 매일 하기</t>
        </is>
      </c>
      <c r="E16" s="5" t="inlineStr">
        <is>
          <t>모든 항목을 빠짐없이 작성함. 운동학원과 집 운동의 병행 부담을 스스로 파악해 강도를 조절하는 현실적인 개선안을 냄. 짝(김강민)과 SMART·최종 목표 동일.</t>
        </is>
      </c>
      <c r="F16" s="5" t="inlineStr">
        <is>
          <t>없음</t>
        </is>
      </c>
    </row>
    <row r="17" ht="360" customHeight="1">
      <c r="A17" s="4" t="inlineStr">
        <is>
          <t>p-3</t>
        </is>
      </c>
      <c r="B17" s="5" t="inlineStr">
        <is>
          <t>개별 진로 프로젝트 3차시(습관형성): 습관 실천 — 1주차 습관 기록표</t>
        </is>
      </c>
      <c r="C17" s="5" t="inlineStr">
        <is>
          <t>이번 주 목표와 확인(인증) 방법 정하기, 요일별 실천 내용·실천/인증 체크·오늘의 한 줄(동료 응원) 기록, 실천 일수와 한 주 소감 작성</t>
        </is>
      </c>
      <c r="D17" s="5" t="inlineStr">
        <is>
          <t>[습관형성] 1주차 습관 기록표 (짝 김강민과 같은 목표)
· 이번 주 목표: 운동 5개 종류 20개씩 하기 / 확인(인증) 방법: 메모에 적기
· 월: '못했다'
· 화~일: 날마다 종목을 바꿔 가며 기록 — 윗몸일으키기·푸시업·버피·스쿼트(화), 덤벨 컬·런지·투명의자 1분·푸시업(수), 백 익스텐션·푸시업·윗몸일으키기·파이크 푸시업(목), 사이드 플랭크 30초·마운틴 클라이머·푸시업·버피(금), 스쿼트·윗몸일으키기·백 익스텐션·런지(토), 스쿼트·윗몸일으키기·런지·러닝 1시간(일)
· 오늘의 한 줄: '재밌다~', '파이크 푸시업이 좀 힘들었다', '강민아, 화이팅~' 등 짝 응원
· 이번 주 실천 일수: 6일 / 7일
· 느낀 점: '힘들 때도 많고 귀찮아서 하기 싫을 때도 있었지만 꾸준히 열심히 하니까 뿌듯하고 재밌었다.'</t>
        </is>
      </c>
      <c r="E17" s="5" t="inlineStr">
        <is>
          <t>2차시 SMART 목표(밤에 운동 5가지 20개씩)를 그대로 실천하고, 종목과 횟수를 날마다 구체적으로 기록함. 짝 김강민과 서로 응원하며 둘 다 6일 실천해 짝 활동의 효과가 뚜렷함.</t>
        </is>
      </c>
      <c r="F17" s="5" t="inlineStr">
        <is>
          <t>월요일 미실천</t>
        </is>
      </c>
    </row>
  </sheetData>
  <mergeCells count="2">
    <mergeCell ref="A2:F2"/>
    <mergeCell ref="A1:F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10423 황현준)</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80" customHeight="1">
      <c r="A5" s="4" t="inlineStr">
        <is>
          <t>1-1</t>
        </is>
      </c>
      <c r="B5" s="5" t="inlineStr">
        <is>
          <t>진로수업 OT</t>
        </is>
      </c>
      <c r="C5" s="5" t="inlineStr">
        <is>
          <t>자기소개(진진가 퀴즈), 1학기 진로활동 안내, 진로탐색·의사결정 능력 질문지, 진로수업 약속 및 다짐</t>
        </is>
      </c>
      <c r="D5" s="5" t="inlineStr">
        <is>
          <t>· 자기소개 문제: 3칸에 한 문장씩 작성(해외여행 경험 관련 등, 일부 판독 어려움)
· 질문지: 진로를 말할 수 있다 '매우 그렇지 않다', 꿈을 위해 노력·공부 알고 노력·상담 경험 '그렇지 않다', 가족과 대화 '보통'
· 상담 상대: 부모·친척 / 중요 요소: 나의 소질과 적성 / 정보 탐색: 유튜브
· 노력: 다양한 진로 체험 활동, 기타(판독 어려움) / 어려움: 진로 체험 기회가 부족해서
· 원하는 진로활동: 여러 직업의 특성 알려주기(일부 판독 어려움)
· 약속: 적극 / 다섯 글자: '열심히하자'</t>
        </is>
      </c>
      <c r="E5" s="5" t="inlineStr">
        <is>
          <t>진로를 자신 있게 말할 수 있는지에 '매우 그렇지 않다'로 답함 — 1학기 초 진로 확신이 낮았던 상태.</t>
        </is>
      </c>
      <c r="F5" s="5" t="inlineStr">
        <is>
          <t>진진가 퀴즈, 약속 이유 판독 어려움, 깨달은 점 미기재</t>
        </is>
      </c>
    </row>
    <row r="6" ht="96" customHeight="1">
      <c r="A6" s="4" t="inlineStr">
        <is>
          <t>1-2</t>
        </is>
      </c>
      <c r="B6" s="5" t="inlineStr">
        <is>
          <t>나의 3년을 담는 기록장_학교생활기록부</t>
        </is>
      </c>
      <c r="C6" s="5" t="inlineStr">
        <is>
          <t>학생부 항목 구조 이해, 영상 시청 빈칸 채우기(수시/정시, 5등급제, 고교학점제, 세특, 창체, 2028 수능 변화)</t>
        </is>
      </c>
      <c r="D6" s="5" t="inlineStr">
        <is>
          <t>· 영상 빈칸: 수능, 학생부 교과·학생부 종합, 최저학력, 5등급제·상위 10%, 지필+수행, 수행평가, 192학점, 희망 진로, 1학년 여름방학, 과정, 교과학습발달상황(세특), 자율·자치/동아리, 행동특성 및 종합의견, 공통, 통합사회/통합과학, 생기부, 역전, 주도성</t>
        </is>
      </c>
      <c r="E6" s="5" t="inlineStr">
        <is>
          <t>대부분 정확히 채움. 세특 태도 칸은 지운 흔적.</t>
        </is>
      </c>
      <c r="F6" s="5" t="inlineStr">
        <is>
          <t>앞면 학번·이름, 8번 다짐 미기재</t>
        </is>
      </c>
    </row>
    <row r="7" ht="68" customHeight="1">
      <c r="A7" s="4" t="inlineStr">
        <is>
          <t>1-3</t>
        </is>
      </c>
      <c r="B7" s="5" t="inlineStr">
        <is>
          <t>고등학교 내신 산출의 이해</t>
        </is>
      </c>
      <c r="C7" s="5" t="inlineStr">
        <is>
          <t>중·고 성적 산출 차이, 5등급제 커트라인 계산(277명 기준), 1차 정기시험 목표 점수·학습계획 수립</t>
        </is>
      </c>
      <c r="D7" s="5" t="inlineStr">
        <is>
          <t>학번·이름 및 내용 전체 미기재(빈 활동지)</t>
        </is>
      </c>
      <c r="E7" s="5" t="inlineStr">
        <is>
          <t>활동지를 작성하지 않음.</t>
        </is>
      </c>
      <c r="F7" s="5" t="inlineStr">
        <is>
          <t>전체 미기재</t>
        </is>
      </c>
    </row>
    <row r="8" ht="152" customHeight="1">
      <c r="A8" s="4" t="inlineStr">
        <is>
          <t>1-4</t>
        </is>
      </c>
      <c r="B8" s="5" t="inlineStr">
        <is>
          <t>자기 이해 검사 종합하기</t>
        </is>
      </c>
      <c r="C8" s="5" t="inlineStr">
        <is>
          <t>POWER UP 강점진로검사(강점 3가지·핵심 강점 확장), MIT 전공 흥미 검사 결과 비교, 선호 직무 유형·직업 가치 정리</t>
        </is>
      </c>
      <c r="D8" s="5" t="inlineStr">
        <is>
          <t>· 강점: ①도덕성(임마누엘 칸트) ②원만성(넬슨 만델라) ③끈기(세종대왕)
· 핵심 강점 '끈기' 연상어: 성실, 노력, 계획, 태도, 인내, 반복 등 / 강화 방안: 포기하지 않고 끝까지 하기(일부 판독 어려움)
· MIT 희망 전공: 음악, 무용·체육, 수학·물리 → 추천: 음악, 무용·체육, 천문·지구
· 선호 계열: 예체능계열
· 선호 직무: 예술가형 / 직업 가치: 안정성 &gt; 경제적 풍족 &gt; 창의성</t>
        </is>
      </c>
      <c r="E8" s="5" t="inlineStr">
        <is>
          <t>희망과 추천의 1·2순위(음악, 무용·체육)가 일치 — 이후 가수 진로로 이어짐.</t>
        </is>
      </c>
      <c r="F8" s="5" t="inlineStr">
        <is>
          <t>일치 여부 성찰 미기재</t>
        </is>
      </c>
    </row>
    <row r="9" ht="96" customHeight="1">
      <c r="A9" s="4" t="inlineStr">
        <is>
          <t>1-5</t>
        </is>
      </c>
      <c r="B9" s="5" t="inlineStr">
        <is>
          <t>최고 관심 직업 선정하기</t>
        </is>
      </c>
      <c r="C9" s="5" t="inlineStr">
        <is>
          <t>관심 직업 4개 정보 조사(하는 일·필요 능력·관련 학과) → 토너먼트로 최고 관심 직업 선정 → 미래 명함 만들기</t>
        </is>
      </c>
      <c r="D9" s="5" t="inlineStr">
        <is>
          <t>· 관심 직업 4개 조사: 가수, 스포츠 트레이너, 군인, GIS 전문가 — 하는 일·필요 능력·관련 학과 작성
· 토너먼트 최종: 가수
· 가치관 부합 성찰: 선호 직무 유형·직업 가치와 가수의 관계를 서술(일부 판독 어려움)</t>
        </is>
      </c>
      <c r="E9" s="5" t="inlineStr">
        <is>
          <t>음악(가수)과 체육 사이에서 가수를 최종 선택.</t>
        </is>
      </c>
      <c r="F9" s="5" t="inlineStr">
        <is>
          <t>선택·포기 이유 판독 어려움, 명함 미기재</t>
        </is>
      </c>
    </row>
    <row r="10" ht="222" customHeight="1">
      <c r="A10" s="4" t="inlineStr">
        <is>
          <t>1-6</t>
        </is>
      </c>
      <c r="B10" s="5" t="inlineStr">
        <is>
          <t>미래 직업 세계와 AI: 내 직업은 어떻게 변할까?</t>
        </is>
      </c>
      <c r="C10" s="5" t="inlineStr">
        <is>
          <t>AI 3단 분석(대체/협업/대체 불가), AI 시대 필요 역량 3가지, 미래 명함 업그레이드, 모둠 토론</t>
        </is>
      </c>
      <c r="D10" s="5" t="inlineStr">
        <is>
          <t>· 직업: 가수
· AI 대체: 작곡·가사 초안 만들기, 음원 편집과 보정, 팬 데이터 분석
· AI 협업: 콘셉트와 음악 제작 보조, 뮤직비디오·무대 연출 아이디어 제작, 팬 소통 콘텐츠 제작
· 대체 불가: 감정을 담은 표현력, 무대에서의 인간적인 매력과 존재감, 진정성 있는 공감과 이야기
· 체크: '내 생각이 AI 답과 거의 같았다'
· 새로 알게 된 점: '내 생각과 비슷해서 놀랐고, 팬과 관련된 일도 AI가 할 수 있다는 것에 놀랐다'
· 키울 역량: 창의력(작곡할 때 가사에 무엇을 넣을지), 가창력('가수여서 노래를 잘해야 해서'), 표현력('노래에 진정성이나 감정을 담으면 더 좋아서')</t>
        </is>
      </c>
      <c r="E10" s="5" t="inlineStr">
        <is>
          <t>역량 선택 이유를 가수 직무와 구체적으로 연결함.</t>
        </is>
      </c>
      <c r="F10" s="5" t="inlineStr">
        <is>
          <t>준비 1가지, 명함 업그레이드, 모둠 토론 미기재</t>
        </is>
      </c>
    </row>
    <row r="11" ht="180" customHeight="1">
      <c r="A11" s="4" t="inlineStr">
        <is>
          <t>1-7</t>
        </is>
      </c>
      <c r="B11" s="5" t="inlineStr">
        <is>
          <t>희망 학과(전공) 탐색하기</t>
        </is>
      </c>
      <c r="C11" s="5" t="inlineStr">
        <is>
          <t>커리어넷·고용24·학과바이블로 희망 학과 조사(학과 개요·연결 포인트·관련 과목·자격증·진출 분야·다짐)</t>
        </is>
      </c>
      <c r="D11" s="5" t="inlineStr">
        <is>
          <t>· 탐색 학과: 성악과
· 학과 개요: 성악 예술을 탐구하고 성악가로서의 기량을 연마하며, 발성·딕션·연기 등을 기르고 독창회·오페라 공연 등을 통해 예술가로 성장하도록 함
· 연결 포인트: '노래를 듣거나 부르는 것을 좋아함'
· 고교 관련 과목: 음악, 영어, 국어 / 대학 주요 교과목: 음악사, 합창, 시창청음 등
· 자격증: 문화예술교육사, 음악치료사, 음악심리상담사 / 진출: 음반 제작 회사, 연주 단체, 국공립 합창단
· 다짐: 출결 사항 관리, 학교 행사 참여</t>
        </is>
      </c>
      <c r="E11" s="5" t="inlineStr">
        <is>
          <t>완성도 높음.</t>
        </is>
      </c>
      <c r="F11" s="5" t="inlineStr">
        <is>
          <t>관심 대학, 학과 전망 미기재</t>
        </is>
      </c>
    </row>
    <row r="12" ht="124" customHeight="1">
      <c r="A12" s="4" t="inlineStr">
        <is>
          <t>1-8</t>
        </is>
      </c>
      <c r="B12" s="5" t="inlineStr">
        <is>
          <t>나의 대학 진학 설계(대입 전형 유형별 분석)</t>
        </is>
      </c>
      <c r="C12" s="5" t="inlineStr">
        <is>
          <t>사전 연습(동국대 수학과 전형 분석), 전형 유형별 나의 준비도 별점, 도전 대입 전형 설계</t>
        </is>
      </c>
      <c r="D12" s="5" t="inlineStr">
        <is>
          <t>· 사전 연습(동국대 수학과): 교과 4명·학생부교과 70%+교과 관련 서류종합 30%·미적용 / 종합 9명·서류종합평가 100%, 면접 40%+1단계 60%·미적용 / 논술 5명·학생부 30%(교과 20+출결 10)+논술 70%·적용 / 정시 '수능 60%·실기 40%'로 기재
· 준비도 별점: 교과·종합·논술 1개, 실기·정시 2개</t>
        </is>
      </c>
      <c r="E12" s="5" t="inlineStr"/>
      <c r="F12" s="5" t="inlineStr">
        <is>
          <t>step2(도전 대입 전형 설계) 전체 미기재</t>
        </is>
      </c>
    </row>
    <row r="13" ht="124" customHeight="1">
      <c r="A13" s="4" t="inlineStr">
        <is>
          <t>최종</t>
        </is>
      </c>
      <c r="B13" s="5" t="inlineStr">
        <is>
          <t>1학기 진로수업 마무리 활동지</t>
        </is>
      </c>
      <c r="C13" s="5" t="inlineStr">
        <is>
          <t>5·7·8차시 진로 기록 돌아보기, 최종 진로 목표, 2·3학년 과목 선택 설계, 대입 전형 연계, 2학기 다짐</t>
        </is>
      </c>
      <c r="D13" s="5" t="inlineStr">
        <is>
          <t>· 돌아보기: 최고 관심 직업 가수 '그대로 유지', 희망 학과 성악과 → '부분 수정'
· 변경 이유: 성악보다는 일반 노래가 더 좋아서(일부 판독 어려움)
· 최종 진로 목표: 예체능 / 가수 / 실용음악과</t>
        </is>
      </c>
      <c r="E13" s="5" t="inlineStr">
        <is>
          <t>1-4 → 1-5 → 1-6 → 최종까지 가수로 일관되며, 학과를 성악과에서 실용음악과로 스스로 구체화함. 1-1에서 '진로를 말할 수 없다'던 학생이 한 학기 동안 방향을 잡아 감.</t>
        </is>
      </c>
      <c r="F13" s="5" t="inlineStr">
        <is>
          <t>목표 대학, 과목 선택 설계, 대입 전형, 2학기 다짐 미기재</t>
        </is>
      </c>
    </row>
    <row r="14" ht="180" customHeight="1">
      <c r="A14" s="4" t="inlineStr">
        <is>
          <t>2-2</t>
        </is>
      </c>
      <c r="B14" s="5" t="inlineStr">
        <is>
          <t>나도 입학사정관</t>
        </is>
      </c>
      <c r="C14" s="5" t="inlineStr">
        <is>
          <t>서울대 아로리 '나도 입학사정관' 합격 사례(2024·2025) 1건 선택 → 학업·진로·공동체 역량 렌즈로 A·B·C 학생 순위 평가 → 조별 토의 예상 순위와 실제 결과 비교 → 느낀 점·배운 점</t>
        </is>
      </c>
      <c r="D14" s="5" t="inlineStr">
        <is>
          <t>· 평가 사례: 연도·학과 미기재
· 개인 평가: 학업 A&gt;C&gt;B
· 학업 이유: B는 1학년 사회·과학 등급이 2이고 학년이 오를수록 떨어짐, C는 1학년 사회 1.25·과학 1.5로 1등급대를 유지하나 수학이 점점 떨어짐, A는 1학년 사회 1.75·과학 1.4이고 다른 교과도 좋은 등급을 유지하며 특히 영어에 강점
· 조별 예상 A&gt;C&gt;B → 실제 결과 A&gt;C&gt;B (완전 일치)
· 느낀 점: 서울대 합격자의 공부 수준이 생각보다 우수했다는 내용(일부 판독 어려움) / 배운 점: '공부 열심히 해야겠다'</t>
        </is>
      </c>
      <c r="E14" s="5" t="inlineStr">
        <is>
          <t>학년별 등급 수치와 추세를 비교한 정량적 분석이 돋보임.</t>
        </is>
      </c>
      <c r="F14" s="5" t="inlineStr">
        <is>
          <t>진로·공동체 역량 미기재 / 느낀 점 일부 판독 어려움</t>
        </is>
      </c>
    </row>
    <row r="15" ht="220" customHeight="1">
      <c r="A15" s="4" t="inlineStr">
        <is>
          <t>p-1</t>
        </is>
      </c>
      <c r="B15" s="5" t="inlineStr">
        <is>
          <t>개별 진로 프로젝트 1차시: 3종 트랙 탐색·선택 및 8차시 개인 계획서</t>
        </is>
      </c>
      <c r="C15" s="5" t="inlineStr">
        <is>
          <t>3종 트랙(주제탐구·진로독서·습관형성) 특징 비교 → 나에게 맞는 트랙 1개 선택·선택 이유 → 트랙별 초기 아이디어 구상 → 나만의 8차시 세부 계획 수립 → 한 줄 다짐·계획 자가 점검</t>
        </is>
      </c>
      <c r="D15" s="5" t="inlineStr">
        <is>
          <t>· 선택 트랙: 주제탐구 ('with 김영우')
· 선택 이유: 노래에 관심이 많아 다양한 노래를 접하고 잘 부르는 법을 알아보고 싶어서
· 관심 분야: 가수, 군인 (③ 미기재)
· 그렇게 생각한 이유: 중3 때 유튜브에서 가수 영상을 보고 노래에 관심이 생겼고 그전부터 노래 부르는 것을 좋아했음 / 몸 쓰는 일을 좋아하고 나라를 위해 목숨을 바친다는 게 멋있어서
· 잠정 탐구 주제: 엔터테인먼트의 성장으로 본 가수의 역할과 활동 / 우리나라 군인과 다른 나라 군인의 차이 (두 가지를 함께 적음)
· 주제 선택 이유: 내가 좋아하는 가수를 보며 다른 가수들은 어떻게 활동해 왔는지 궁금해서(일부 판독)
· 8차시 계획: 2차시 'PPT 앱·탐구 방법 찾기'만 기재</t>
        </is>
      </c>
      <c r="E15" s="5" t="inlineStr">
        <is>
          <t>가수와 군인이라는 서로 다른 두 관심을 함께 적어 주제가 아직 하나로 좁혀지지 않음. 짝(김영우)과 계획표 문구 동일.</t>
        </is>
      </c>
      <c r="F15" s="5" t="inlineStr">
        <is>
          <t>3~7차시 계획, 한 줄 다짐, 자가 점검 미기재 / 일부 판독 어려움</t>
        </is>
      </c>
    </row>
    <row r="16" ht="94" customHeight="1">
      <c r="A16" s="4" t="inlineStr">
        <is>
          <t>p-2</t>
        </is>
      </c>
      <c r="B16" s="5" t="inlineStr">
        <is>
          <t>개별 진로 프로젝트 2차시(주제탐구): 탐구 방법 안내 &amp; 탐구계획서</t>
        </is>
      </c>
      <c r="C16" s="5" t="inlineStr">
        <is>
          <t>탐구 자료원(통계·뉴스·논문·기관 사이트) 안내 → 핵심 탐구 질문 1개와 이를 뒷받침할 하위 질문 3개 작성 → 활용할 자료원 계획</t>
        </is>
      </c>
      <c r="D16" s="5" t="inlineStr">
        <is>
          <t>· 핵심 탐구 질문: 소설가와 가수의 창작 과정에는 어떤 차이가 있는가 (김영우와 공동 주제)
· 하위 질문(순서를 바꿔 표시): 소설가와 가수의 창작의 공통성 / 창작의 차이점 / 소설가와 가수의 정의
· 활용할 자료원: 유튜브</t>
        </is>
      </c>
      <c r="E16" s="5" t="inlineStr">
        <is>
          <t>1차시 두 관심(가수·군인) 중 '가수'로 정리되어 짝과 공동 주제로 진행. 하위 질문이 단어 나열 수준이라 구체적인 질문 형태로 다듬는 지도 필요.</t>
        </is>
      </c>
      <c r="F16" s="5" t="inlineStr">
        <is>
          <t>자료원이 유튜브 1가지뿐</t>
        </is>
      </c>
    </row>
    <row r="17" ht="286" customHeight="1">
      <c r="A17" s="4" t="inlineStr">
        <is>
          <t>p-3</t>
        </is>
      </c>
      <c r="B17" s="5" t="inlineStr">
        <is>
          <t>개별 진로 프로젝트 3차시(주제탐구): 자료 수집</t>
        </is>
      </c>
      <c r="C17" s="5" t="inlineStr">
        <is>
          <t>탐구 질문에 필요한 자료를 기사·논문·도서 등에서 5~10개 조사, 자료 출처를 명확히 기록하고 핵심 내용을 나의 언어로 요약, 나의 생각/메모 작성</t>
        </is>
      </c>
      <c r="D17" s="5" t="inlineStr">
        <is>
          <t>[주제탐구] 자료 3개 + 메모
· ① 전문대학포털: 가수는 방송 출연, 공연·콘서트, 각종 행사 등 여러 무대에서 노래를 부르며 활동하는 직업
· ② 커리어넷: 악단이나 녹음된 반주에 맞춰 공연장·콘서트 무대에서 대중가요·고전음악·국악·가곡을 부르며, 직접 작사·작곡까지 하는 경우도 있음
· ③ 커리어넷: 뛰어난 노래 실력과 청음력이 필요하고, 새로운 음악과 다양한 모습을 보여 주기 위한 창의력, 많은 사람 앞에서 노래·춤을 소화하는 적극적이고 활발한 성격, 인내가 필요함
· 메모: '찾아보면서 내가 좋아하는 가수가 작사·작곡까지 다 하는 싱어송라이터라는 걸 알았고, 싱어송라이터에 대해서도 더 알고 싶어졌다'</t>
        </is>
      </c>
      <c r="E17" s="5" t="inlineStr">
        <is>
          <t>직업 정보 사이트에서 '가수'의 정의·자질을 정리해 하위 질문(정의)에는 답했으나, 탐구 질문(소설가와 가수의 창작 과정 차이)을 다룬 자료는 아직 없음. 메모의 '싱어송라이터' 관심이 짝 김영우의 메모와 같아, 두 사람이 '작사(가사 쓰기)'를 연결 고리로 주제를 좁히도록 도우면 좋겠음.</t>
        </is>
      </c>
      <c r="F17" s="5" t="inlineStr">
        <is>
          <t>자료 ④·⑤ 미기재 / 자료 ②·③ 출처가 같은 사이트(커리어넷)</t>
        </is>
      </c>
    </row>
  </sheetData>
  <mergeCells count="2">
    <mergeCell ref="A2:F2"/>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10424 김다경)</t>
        </is>
      </c>
    </row>
    <row r="2">
      <c r="A2" s="2" t="inlineStr">
        <is>
          <t>※ 활동지 스캔본(PDF)을 바탕으로 정리. 필체 판독이 어렵거나 학생이 미기재한 항목은 '판독 어려움/미기재'로 표기함. 1학기 활동지(1-1~최종)는 아직 개별 스캔본이 없어 2-2(반 전체 스캔본)만 정리함. ※ 개별 프로젝트 p-1·p-2 활동지에서 이름이 '김다경'으로 또렷하게 확인됨(짝 김효신 활동지에도 '김다경' 기재).</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2-2</t>
        </is>
      </c>
      <c r="B5" s="5" t="inlineStr">
        <is>
          <t>나도 입학사정관</t>
        </is>
      </c>
      <c r="C5" s="5" t="inlineStr">
        <is>
          <t>서울대 아로리 '나도 입학사정관' 합격 사례(2024·2025) 1건 선택 → 학업·진로·공동체 역량 렌즈로 A·B·C 학생 순위 평가 → 조별 토의 예상 순위와 실제 결과 비교 → 느낀 점·배운 점</t>
        </is>
      </c>
      <c r="D5" s="5" t="inlineStr">
        <is>
          <t>· 평가 사례: 2025학년도 소비자학 전공
· 개인 평가: 학업 B&gt;A&gt;C, 진로 A&gt;B&gt;C, 공동체 A&gt;C&gt;B
· 조별 예상 A&gt;B&gt;C → 실제 결과 B&gt;A&gt;C
· 느낀 점: '대학 가기 어려울 것 같다'</t>
        </is>
      </c>
      <c r="E5" s="5" t="inlineStr">
        <is>
          <t>진학에 대한 부담감을 짧게 표현 — 상담 시 참고.</t>
        </is>
      </c>
      <c r="F5" s="5" t="inlineStr">
        <is>
          <t>역량별 이유, 배운 점 미기재</t>
        </is>
      </c>
    </row>
    <row r="6" ht="290" customHeight="1">
      <c r="A6" s="4" t="inlineStr">
        <is>
          <t>p-1</t>
        </is>
      </c>
      <c r="B6" s="5" t="inlineStr">
        <is>
          <t>개별 진로 프로젝트 1차시: 3종 트랙 탐색·선택 및 8차시 개인 계획서</t>
        </is>
      </c>
      <c r="C6" s="5" t="inlineStr">
        <is>
          <t>3종 트랙(주제탐구·진로독서·습관형성) 특징 비교 → 나에게 맞는 트랙 1개 선택·선택 이유 → 트랙별 초기 아이디어 구상 → 나만의 8차시 세부 계획 수립 → 한 줄 다짐·계획 자가 점검</t>
        </is>
      </c>
      <c r="D6" s="5" t="inlineStr">
        <is>
          <t>· 선택 트랙: 주제탐구 ('with 김효신')
· 선택 이유: 평소 마케팅 직업에 관심이 많아, 고객에게 설득력 있게 알리기 위해 사용되는 모든 유형의 마케팅을 직접 조사하고 발표하고 싶어서
· 관심 분야 3가지: 광고·홍보, 브랜드 마케팅, 콘텐츠 기획
· 그렇게 생각한 이유: 미디어를 활용해 사람들에게 브랜드와 제품을 더 효과적으로 알리고 싶어서
· 잠정 탐구 주제: SNS 광고가 소비자 구매에 미치는 영향
· 주제 선택 이유: 짧은 숏폼 영상으로 소비자에게 정보를 얼마나 전달하는지, 그 전달력이 어떤 영향력이 있는지 궁금해서
· 8차시 계획: 2 탐구에 필요한 소비자 행동 정리(조사 계획, 일부 판독) → 3 관련 자료 조사·관련 도서 읽기·독서기록 작성 → 4 숏폼 콘텐츠와 브랜드 분석(심화탐구 자료, 일부 판독) → 5 분석자료 → 6 발표 자료 → 7 결과정리
· 한 줄 다짐: 8차시 동안 집중하며 포트폴리오를 채우겠다</t>
        </is>
      </c>
      <c r="E6" s="5" t="inlineStr">
        <is>
          <t>마케팅 진로-관심-주제가 일관되고, 주제탐구에 독서기록까지 병행하는 계획을 세움. 자가 점검 3개 모두 체크.</t>
        </is>
      </c>
      <c r="F6" s="5" t="inlineStr">
        <is>
          <t>8차시 계획 일부 판독 어려움</t>
        </is>
      </c>
    </row>
    <row r="7" ht="150" customHeight="1">
      <c r="A7" s="4" t="inlineStr">
        <is>
          <t>p-2</t>
        </is>
      </c>
      <c r="B7" s="5" t="inlineStr">
        <is>
          <t>개별 진로 프로젝트 2차시(주제탐구): 탐구 방법 안내 &amp; 탐구계획서</t>
        </is>
      </c>
      <c r="C7" s="5" t="inlineStr">
        <is>
          <t>탐구 자료원(통계·뉴스·논문·기관 사이트) 안내 → 핵심 탐구 질문 1개와 이를 뒷받침할 하위 질문 3개 작성 → 활용할 자료원 계획</t>
        </is>
      </c>
      <c r="D7" s="5" t="inlineStr">
        <is>
          <t>· 핵심 탐구 질문: 미술과 디자인은 전시와 SNS 광고에서 소비자의 구매 욕구를 어떻게 자극하는가?
· 하위 질문 ①: 미술과 디자인은 전시와 제품에 어떻게 활용되는가?
· 하위 질문 ②: SNS 광고 디자인은 소비자의 관심과 구매에 어떤 영향을 미치는가?
· 하위 질문 ③: 전시와 SNS 광고에 활용되는 디자인의 공통 특징은 무엇인가?
· 활용할 자료원: 관련 논문, 기사, 전시 사례, SNS 광고 사례</t>
        </is>
      </c>
      <c r="E7" s="5" t="inlineStr">
        <is>
          <t>1차시 본인 주제(SNS 광고)와 짝 김효신의 주제(전시·디자인)를 결합한 공동 주제로 진행. 짝과 활동지 내용 동일.</t>
        </is>
      </c>
      <c r="F7" s="5" t="inlineStr">
        <is>
          <t>없음</t>
        </is>
      </c>
    </row>
    <row r="8" ht="360" customHeight="1">
      <c r="A8" s="4" t="inlineStr">
        <is>
          <t>p-3</t>
        </is>
      </c>
      <c r="B8" s="5" t="inlineStr">
        <is>
          <t>개별 진로 프로젝트 3차시(주제탐구): 자료 수집</t>
        </is>
      </c>
      <c r="C8" s="5" t="inlineStr">
        <is>
          <t>탐구 질문에 필요한 자료를 기사·논문·도서 등에서 5~10개 조사, 자료 출처를 명확히 기록하고 핵심 내용을 나의 언어로 요약, 나의 생각/메모 작성</t>
        </is>
      </c>
      <c r="D8" s="5" t="inlineStr">
        <is>
          <t>[주제탐구] 자료 5개 + 메모 (이름란 '김다경 with 김효신', 짝과 공동 작성)
· 짝 김효신과 출처 5개·요약·메모가 같음
· ① DBpia: 인테리어·조명·전시물·그래픽 디자인이 관람객의 사진 촬영을 유도하고 SNS 공유에 영향
· ② 한국디자인포럼(2025): 이미지 강조형 포스터는 가시성·주목성·기억성, 타이포그래피형은 메시지 전달에 강점
· ③ 커뮤니케이션디자인학연구(2021): 편리한 동선과 매력적인 이미지·영상 콘텐츠가 관람객 경험을 높이고 SNS 공유를 유도
· ④ DBpia / 영남대학교 학위논문: 시각적 변화와 상호작용이 관심·몰입을 높이고 브랜드 이미지 향상과 판매 촉진에 활용
· ⑤ 조형디자인연구: SNS의 이미지·정보 특성이 제품 인식과 구매 결정에 영향
· 메모: '미술관 디자인과 SNS 광고는 시각적 요소로 소비자의 관심과 감정을 자극해 구매 욕구를 높인다는 점이 흥미로웠다. 디자인이 소비자의 행동에 미치는 영향을 더 알아보고 싶다.'</t>
        </is>
      </c>
      <c r="E8" s="5" t="inlineStr">
        <is>
          <t>학술 자료 5개로 공동 탐구 질문을 충실히 뒷받침함. 김효신과 공동 작성임을 이름란에 밝힘. 1차시 본인 관심(SNS 광고·마케팅)과 연결되는 자료 ⑤가 있어 마케팅 진로와의 연결이 유지됨.</t>
        </is>
      </c>
      <c r="F8" s="5" t="inlineStr">
        <is>
          <t>논문 제목 일부 미기재 / ③ 연도를 짝은 2022, 본인은 2021로 적음(확인 필요)</t>
        </is>
      </c>
    </row>
  </sheetData>
  <mergeCells count="2">
    <mergeCell ref="A2:F2"/>
    <mergeCell ref="A1:F1"/>
  </mergeCells>
  <pageMargins left="0.75" right="0.75" top="1" bottom="1" header="0.5" footer="0.5"/>
</worksheet>
</file>

<file path=xl/worksheets/sheet24.xml><?xml version="1.0" encoding="utf-8"?>
<worksheet xmlns="http://schemas.openxmlformats.org/spreadsheetml/2006/main">
  <sheetPr>
    <tabColor rgb="0070AD47"/>
    <outlinePr summaryBelow="1" summaryRight="1"/>
    <pageSetUpPr/>
  </sheetPr>
  <dimension ref="A1:W34"/>
  <sheetViews>
    <sheetView zoomScale="90"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0" customWidth="1" min="3" max="3"/>
    <col width="30"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8" customWidth="1" min="21" max="21"/>
    <col width="8" customWidth="1" min="22" max="22"/>
    <col width="70" customWidth="1" min="23" max="23"/>
  </cols>
  <sheetData>
    <row r="1">
      <c r="A1" s="1" t="inlineStr">
        <is>
          <t>2026학년도 1학년 4반 진로 프로젝트 진행 확인표</t>
        </is>
      </c>
    </row>
    <row r="2" ht="42" customHeight="1">
      <c r="A2" s="24" t="inlineStr">
        <is>
          <t>※ 제출: ○ 제출 / × 미제출(빈칸 제출도 ○로 표시하고 기록정도 '하')   ※ 기록정도 — 상: 모든 항목을 구체적으로 작성(주제탐구는 자료 3개 이상+요약) / 중: 핵심 항목은 작성했으나 일부 빈칸·자료 부족 / 하: 대부분 빈칸이거나 출처·한 줄만 작성   ※ 이후 차시 칸은 드롭다운으로 직접 입력하면 색이 자동으로 칠해짐</t>
        </is>
      </c>
    </row>
    <row r="4">
      <c r="A4" s="3" t="inlineStr">
        <is>
          <t>학번</t>
        </is>
      </c>
      <c r="B4" s="3" t="inlineStr">
        <is>
          <t>이름</t>
        </is>
      </c>
      <c r="C4" s="3" t="inlineStr">
        <is>
          <t>트랙</t>
        </is>
      </c>
      <c r="D4" s="3" t="inlineStr">
        <is>
          <t>주제 / 도서 / 습관</t>
        </is>
      </c>
      <c r="E4" s="3" t="inlineStr">
        <is>
          <t>p-1</t>
        </is>
      </c>
      <c r="F4" s="3" t="n"/>
      <c r="G4" s="3" t="inlineStr">
        <is>
          <t>p-2</t>
        </is>
      </c>
      <c r="H4" s="3" t="n"/>
      <c r="I4" s="3" t="inlineStr">
        <is>
          <t>p-3</t>
        </is>
      </c>
      <c r="J4" s="3" t="n"/>
      <c r="K4" s="3" t="inlineStr">
        <is>
          <t>p-4</t>
        </is>
      </c>
      <c r="L4" s="3" t="n"/>
      <c r="M4" s="3" t="inlineStr">
        <is>
          <t>p-5</t>
        </is>
      </c>
      <c r="N4" s="3" t="n"/>
      <c r="O4" s="3" t="inlineStr">
        <is>
          <t>p-6</t>
        </is>
      </c>
      <c r="P4" s="3" t="n"/>
      <c r="Q4" s="3" t="inlineStr">
        <is>
          <t>p-7</t>
        </is>
      </c>
      <c r="R4" s="3" t="n"/>
      <c r="S4" s="3" t="inlineStr">
        <is>
          <t>p-8</t>
        </is>
      </c>
      <c r="T4" s="3" t="n"/>
      <c r="U4" s="3" t="inlineStr">
        <is>
          <t>제출
차시 수</t>
        </is>
      </c>
      <c r="V4" s="3" t="inlineStr">
        <is>
          <t>'상'
차시 수</t>
        </is>
      </c>
      <c r="W4" s="3" t="inlineStr">
        <is>
          <t>간단기록(차시별 흐름 · 지도 포인트)</t>
        </is>
      </c>
    </row>
    <row r="5">
      <c r="A5" s="3" t="n"/>
      <c r="B5" s="3" t="n"/>
      <c r="C5" s="3" t="n"/>
      <c r="D5" s="3" t="n"/>
      <c r="E5" s="3" t="inlineStr">
        <is>
          <t>제출</t>
        </is>
      </c>
      <c r="F5" s="3" t="inlineStr">
        <is>
          <t>기록</t>
        </is>
      </c>
      <c r="G5" s="3" t="inlineStr">
        <is>
          <t>제출</t>
        </is>
      </c>
      <c r="H5" s="3" t="inlineStr">
        <is>
          <t>기록</t>
        </is>
      </c>
      <c r="I5" s="3" t="inlineStr">
        <is>
          <t>제출</t>
        </is>
      </c>
      <c r="J5" s="3" t="inlineStr">
        <is>
          <t>기록</t>
        </is>
      </c>
      <c r="K5" s="3" t="inlineStr">
        <is>
          <t>제출</t>
        </is>
      </c>
      <c r="L5" s="3" t="inlineStr">
        <is>
          <t>기록</t>
        </is>
      </c>
      <c r="M5" s="3" t="inlineStr">
        <is>
          <t>제출</t>
        </is>
      </c>
      <c r="N5" s="3" t="inlineStr">
        <is>
          <t>기록</t>
        </is>
      </c>
      <c r="O5" s="3" t="inlineStr">
        <is>
          <t>제출</t>
        </is>
      </c>
      <c r="P5" s="3" t="inlineStr">
        <is>
          <t>기록</t>
        </is>
      </c>
      <c r="Q5" s="3" t="inlineStr">
        <is>
          <t>제출</t>
        </is>
      </c>
      <c r="R5" s="3" t="inlineStr">
        <is>
          <t>기록</t>
        </is>
      </c>
      <c r="S5" s="3" t="inlineStr">
        <is>
          <t>제출</t>
        </is>
      </c>
      <c r="T5" s="3" t="inlineStr">
        <is>
          <t>기록</t>
        </is>
      </c>
      <c r="U5" s="3" t="n"/>
      <c r="V5" s="3" t="n"/>
      <c r="W5" s="3" t="n"/>
    </row>
    <row r="6" ht="36" customHeight="1">
      <c r="A6" s="4" t="n">
        <v>10401</v>
      </c>
      <c r="B6" s="4" t="inlineStr">
        <is>
          <t>강막심</t>
        </is>
      </c>
      <c r="C6" s="4" t="inlineStr">
        <is>
          <t>주제탐구</t>
        </is>
      </c>
      <c r="D6" s="5" t="inlineStr">
        <is>
          <t>AI 시대 일자리 대체와 경영 윤리</t>
        </is>
      </c>
      <c r="E6" s="4" t="inlineStr">
        <is>
          <t>○</t>
        </is>
      </c>
      <c r="F6" s="4" t="inlineStr">
        <is>
          <t>중</t>
        </is>
      </c>
      <c r="G6" s="4" t="inlineStr">
        <is>
          <t>○</t>
        </is>
      </c>
      <c r="H6" s="4" t="inlineStr">
        <is>
          <t>중</t>
        </is>
      </c>
      <c r="I6" s="4" t="inlineStr">
        <is>
          <t>○</t>
        </is>
      </c>
      <c r="J6" s="4" t="inlineStr">
        <is>
          <t>상</t>
        </is>
      </c>
      <c r="K6" s="4" t="n"/>
      <c r="L6" s="4" t="n"/>
      <c r="M6" s="4" t="n"/>
      <c r="N6" s="4" t="n"/>
      <c r="O6" s="4" t="n"/>
      <c r="P6" s="4" t="n"/>
      <c r="Q6" s="4" t="n"/>
      <c r="R6" s="4" t="n"/>
      <c r="S6" s="4" t="n"/>
      <c r="T6" s="4" t="n"/>
      <c r="U6" s="4">
        <f>COUNTIF(E6:T6,"○")</f>
        <v/>
      </c>
      <c r="V6" s="4">
        <f>COUNTIF(E6:T6,"상")</f>
        <v/>
      </c>
      <c r="W6" s="5" t="inlineStr">
        <is>
          <t>p-1 AI와 경영 윤리 주제 정함 → p-2 테세우스의 배 질문(자료원 미기재) → p-3 ILO·OECD 보고서+철학 논문 4개, 탐구 방향 수정 메모</t>
        </is>
      </c>
    </row>
    <row r="7" ht="36" customHeight="1">
      <c r="A7" s="4" t="n">
        <v>10402</v>
      </c>
      <c r="B7" s="4" t="inlineStr">
        <is>
          <t>심알료나</t>
        </is>
      </c>
      <c r="C7" s="4" t="inlineStr">
        <is>
          <t>주제탐구</t>
        </is>
      </c>
      <c r="D7" s="5" t="inlineStr">
        <is>
          <t>문화권별 사고방식 차이와 번역가의 역할</t>
        </is>
      </c>
      <c r="E7" s="4" t="inlineStr">
        <is>
          <t>○</t>
        </is>
      </c>
      <c r="F7" s="4" t="inlineStr">
        <is>
          <t>하</t>
        </is>
      </c>
      <c r="G7" s="4" t="inlineStr">
        <is>
          <t>○</t>
        </is>
      </c>
      <c r="H7" s="4" t="inlineStr">
        <is>
          <t>상</t>
        </is>
      </c>
      <c r="I7" s="4" t="inlineStr">
        <is>
          <t>○</t>
        </is>
      </c>
      <c r="J7" s="4" t="inlineStr">
        <is>
          <t>중</t>
        </is>
      </c>
      <c r="K7" s="4" t="n"/>
      <c r="L7" s="4" t="n"/>
      <c r="M7" s="4" t="n"/>
      <c r="N7" s="4" t="n"/>
      <c r="O7" s="4" t="n"/>
      <c r="P7" s="4" t="n"/>
      <c r="Q7" s="4" t="n"/>
      <c r="R7" s="4" t="n"/>
      <c r="S7" s="4" t="n"/>
      <c r="T7" s="4" t="n"/>
      <c r="U7" s="4">
        <f>COUNTIF(E7:T7,"○")</f>
        <v/>
      </c>
      <c r="V7" s="4">
        <f>COUNTIF(E7:T7,"상")</f>
        <v/>
      </c>
      <c r="W7" s="5" t="inlineStr">
        <is>
          <t>p-1 러시아어로 일부 작성·주제 미정 → p-2 한국어로 탐구 질문 완성 → p-3 사고방식·언어 자료 3개(출처 불분명)</t>
        </is>
      </c>
    </row>
    <row r="8" ht="36" customHeight="1">
      <c r="A8" s="4" t="n">
        <v>10403</v>
      </c>
      <c r="B8" s="4" t="inlineStr">
        <is>
          <t>김강민</t>
        </is>
      </c>
      <c r="C8" s="4" t="inlineStr">
        <is>
          <t>습관형성</t>
        </is>
      </c>
      <c r="D8" s="5" t="inlineStr">
        <is>
          <t>운동 5종 20개씩(최환과 함께)</t>
        </is>
      </c>
      <c r="E8" s="4" t="inlineStr">
        <is>
          <t>○</t>
        </is>
      </c>
      <c r="F8" s="4" t="inlineStr">
        <is>
          <t>상</t>
        </is>
      </c>
      <c r="G8" s="4" t="inlineStr">
        <is>
          <t>○</t>
        </is>
      </c>
      <c r="H8" s="4" t="inlineStr">
        <is>
          <t>상</t>
        </is>
      </c>
      <c r="I8" s="4" t="inlineStr">
        <is>
          <t>○</t>
        </is>
      </c>
      <c r="J8" s="4" t="inlineStr">
        <is>
          <t>상</t>
        </is>
      </c>
      <c r="K8" s="4" t="n"/>
      <c r="L8" s="4" t="n"/>
      <c r="M8" s="4" t="n"/>
      <c r="N8" s="4" t="n"/>
      <c r="O8" s="4" t="n"/>
      <c r="P8" s="4" t="n"/>
      <c r="Q8" s="4" t="n"/>
      <c r="R8" s="4" t="n"/>
      <c r="S8" s="4" t="n"/>
      <c r="T8" s="4" t="n"/>
      <c r="U8" s="4">
        <f>COUNTIF(E8:T8,"○")</f>
        <v/>
      </c>
      <c r="V8" s="4">
        <f>COUNTIF(E8:T8,"상")</f>
        <v/>
      </c>
      <c r="W8" s="5" t="inlineStr">
        <is>
          <t>p-1 규칙적 생활 위해 운동 습관 → p-2 목표 작성 → p-3 운동 6/7일 실천, 짝과 서로 응원</t>
        </is>
      </c>
    </row>
    <row r="9" ht="36" customHeight="1">
      <c r="A9" s="4" t="n">
        <v>10404</v>
      </c>
      <c r="B9" s="4" t="inlineStr">
        <is>
          <t>김영광</t>
        </is>
      </c>
      <c r="C9" s="4" t="inlineStr">
        <is>
          <t>주제탐구</t>
        </is>
      </c>
      <c r="D9" s="5" t="inlineStr">
        <is>
          <t>건축학과와 건축공학과의 차이</t>
        </is>
      </c>
      <c r="E9" s="4" t="inlineStr">
        <is>
          <t>○</t>
        </is>
      </c>
      <c r="F9" s="4" t="inlineStr">
        <is>
          <t>상</t>
        </is>
      </c>
      <c r="G9" s="4" t="inlineStr">
        <is>
          <t>○</t>
        </is>
      </c>
      <c r="H9" s="4" t="inlineStr">
        <is>
          <t>상</t>
        </is>
      </c>
      <c r="I9" s="4" t="inlineStr">
        <is>
          <t>○</t>
        </is>
      </c>
      <c r="J9" s="4" t="inlineStr">
        <is>
          <t>상</t>
        </is>
      </c>
      <c r="K9" s="4" t="n"/>
      <c r="L9" s="4" t="n"/>
      <c r="M9" s="4" t="n"/>
      <c r="N9" s="4" t="n"/>
      <c r="O9" s="4" t="n"/>
      <c r="P9" s="4" t="n"/>
      <c r="Q9" s="4" t="n"/>
      <c r="R9" s="4" t="n"/>
      <c r="S9" s="4" t="n"/>
      <c r="T9" s="4" t="n"/>
      <c r="U9" s="4">
        <f>COUNTIF(E9:T9,"○")</f>
        <v/>
      </c>
      <c r="V9" s="4">
        <f>COUNTIF(E9:T9,"상")</f>
        <v/>
      </c>
      <c r="W9" s="5" t="inlineStr">
        <is>
          <t>p-1 건축학과·건축공학과 차이 → p-2 10개 대학 커리큘럼 비교 설계 → p-3 5개 대학 교육과정 비교 자료 5개+메모</t>
        </is>
      </c>
    </row>
    <row r="10" ht="36" customHeight="1">
      <c r="A10" s="4" t="n">
        <v>10405</v>
      </c>
      <c r="B10" s="4" t="inlineStr">
        <is>
          <t>김영우</t>
        </is>
      </c>
      <c r="C10" s="4" t="inlineStr">
        <is>
          <t>주제탐구</t>
        </is>
      </c>
      <c r="D10" s="5" t="inlineStr">
        <is>
          <t>소설가와 가수의 창작 과정 차이(황현준과 공동)</t>
        </is>
      </c>
      <c r="E10" s="4" t="inlineStr">
        <is>
          <t>○</t>
        </is>
      </c>
      <c r="F10" s="4" t="inlineStr">
        <is>
          <t>중</t>
        </is>
      </c>
      <c r="G10" s="4" t="inlineStr">
        <is>
          <t>○</t>
        </is>
      </c>
      <c r="H10" s="4" t="inlineStr">
        <is>
          <t>중</t>
        </is>
      </c>
      <c r="I10" s="4" t="inlineStr">
        <is>
          <t>○</t>
        </is>
      </c>
      <c r="J10" s="4" t="inlineStr">
        <is>
          <t>중</t>
        </is>
      </c>
      <c r="K10" s="4" t="n"/>
      <c r="L10" s="4" t="n"/>
      <c r="M10" s="4" t="n"/>
      <c r="N10" s="4" t="n"/>
      <c r="O10" s="4" t="n"/>
      <c r="P10" s="4" t="n"/>
      <c r="Q10" s="4" t="n"/>
      <c r="R10" s="4" t="n"/>
      <c r="S10" s="4" t="n"/>
      <c r="T10" s="4" t="n"/>
      <c r="U10" s="4">
        <f>COUNTIF(E10:T10,"○")</f>
        <v/>
      </c>
      <c r="V10" s="4">
        <f>COUNTIF(E10:T10,"상")</f>
        <v/>
      </c>
      <c r="W10" s="5" t="inlineStr">
        <is>
          <t>p-1 소설가·크리에이터 → p-2 짝과 '소설가 vs 가수'로 변경(질문이 나열 수준) → p-3 커리어넷·유튜브 등 4개(창작 과정 비교는 부족)</t>
        </is>
      </c>
    </row>
    <row r="11" ht="36" customHeight="1">
      <c r="A11" s="4" t="n">
        <v>10407</v>
      </c>
      <c r="B11" s="4" t="inlineStr">
        <is>
          <t>김은조</t>
        </is>
      </c>
      <c r="C11" s="4" t="inlineStr">
        <is>
          <t>습관형성</t>
        </is>
      </c>
      <c r="D11" s="5" t="inlineStr">
        <is>
          <t>영단어 20개 외우기</t>
        </is>
      </c>
      <c r="E11" s="4" t="inlineStr">
        <is>
          <t>○</t>
        </is>
      </c>
      <c r="F11" s="4" t="inlineStr">
        <is>
          <t>중</t>
        </is>
      </c>
      <c r="G11" s="4" t="inlineStr">
        <is>
          <t>○</t>
        </is>
      </c>
      <c r="H11" s="4" t="inlineStr">
        <is>
          <t>중</t>
        </is>
      </c>
      <c r="I11" s="4" t="inlineStr">
        <is>
          <t>○</t>
        </is>
      </c>
      <c r="J11" s="4" t="inlineStr">
        <is>
          <t>하</t>
        </is>
      </c>
      <c r="K11" s="4" t="n"/>
      <c r="L11" s="4" t="n"/>
      <c r="M11" s="4" t="n"/>
      <c r="N11" s="4" t="n"/>
      <c r="O11" s="4" t="n"/>
      <c r="P11" s="4" t="n"/>
      <c r="Q11" s="4" t="n"/>
      <c r="R11" s="4" t="n"/>
      <c r="S11" s="4" t="n"/>
      <c r="T11" s="4" t="n"/>
      <c r="U11" s="4">
        <f>COUNTIF(E11:T11,"○")</f>
        <v/>
      </c>
      <c r="V11" s="4">
        <f>COUNTIF(E11:T11,"상")</f>
        <v/>
      </c>
      <c r="W11" s="5" t="inlineStr">
        <is>
          <t>p-1 정보보안 진로와 공부 습관 연결 → p-2 SMART 목표 우수(1~3번 미기재) → p-3 추석으로 실천 0일, 목표를 영단어 20개로 변경</t>
        </is>
      </c>
    </row>
    <row r="12" ht="36" customHeight="1">
      <c r="A12" s="4" t="n">
        <v>10408</v>
      </c>
      <c r="B12" s="4" t="inlineStr">
        <is>
          <t>김하준</t>
        </is>
      </c>
      <c r="C12" s="4" t="inlineStr">
        <is>
          <t>습관형성</t>
        </is>
      </c>
      <c r="D12" s="5" t="inlineStr">
        <is>
          <t>아침 자습·등교 시간 등(목표 불분명)</t>
        </is>
      </c>
      <c r="E12" s="4" t="inlineStr">
        <is>
          <t>○</t>
        </is>
      </c>
      <c r="F12" s="4" t="inlineStr">
        <is>
          <t>하</t>
        </is>
      </c>
      <c r="G12" s="4" t="inlineStr">
        <is>
          <t>○</t>
        </is>
      </c>
      <c r="H12" s="4" t="inlineStr">
        <is>
          <t>하</t>
        </is>
      </c>
      <c r="I12" s="4" t="inlineStr">
        <is>
          <t>○</t>
        </is>
      </c>
      <c r="J12" s="4" t="inlineStr">
        <is>
          <t>중</t>
        </is>
      </c>
      <c r="K12" s="4" t="n"/>
      <c r="L12" s="4" t="n"/>
      <c r="M12" s="4" t="n"/>
      <c r="N12" s="4" t="n"/>
      <c r="O12" s="4" t="n"/>
      <c r="P12" s="4" t="n"/>
      <c r="Q12" s="4" t="n"/>
      <c r="R12" s="4" t="n"/>
      <c r="S12" s="4" t="n"/>
      <c r="T12" s="4" t="n"/>
      <c r="U12" s="4">
        <f>COUNTIF(E12:T12,"○")</f>
        <v/>
      </c>
      <c r="V12" s="4">
        <f>COUNTIF(E12:T12,"상")</f>
        <v/>
      </c>
      <c r="W12" s="5" t="inlineStr">
        <is>
          <t>p-1 선택 이유를 안내문에서 옮겨 씀 → p-2 대부분 지움 → p-3 요일마다 다른 습관 기록, 목표 미기재(개별 지도 필요)</t>
        </is>
      </c>
    </row>
    <row r="13" ht="36" customHeight="1">
      <c r="A13" s="4" t="n">
        <v>10409</v>
      </c>
      <c r="B13" s="4" t="inlineStr">
        <is>
          <t>김효신</t>
        </is>
      </c>
      <c r="C13" s="4" t="inlineStr">
        <is>
          <t>주제탐구</t>
        </is>
      </c>
      <c r="D13" s="5" t="inlineStr">
        <is>
          <t>전시·SNS 광고 디자인과 소비자 구매 욕구(김다경과 공동)</t>
        </is>
      </c>
      <c r="E13" s="4" t="inlineStr">
        <is>
          <t>○</t>
        </is>
      </c>
      <c r="F13" s="4" t="inlineStr">
        <is>
          <t>상</t>
        </is>
      </c>
      <c r="G13" s="4" t="inlineStr">
        <is>
          <t>○</t>
        </is>
      </c>
      <c r="H13" s="4" t="inlineStr">
        <is>
          <t>상</t>
        </is>
      </c>
      <c r="I13" s="4" t="inlineStr">
        <is>
          <t>○</t>
        </is>
      </c>
      <c r="J13" s="4" t="inlineStr">
        <is>
          <t>상</t>
        </is>
      </c>
      <c r="K13" s="4" t="n"/>
      <c r="L13" s="4" t="n"/>
      <c r="M13" s="4" t="n"/>
      <c r="N13" s="4" t="n"/>
      <c r="O13" s="4" t="n"/>
      <c r="P13" s="4" t="n"/>
      <c r="Q13" s="4" t="n"/>
      <c r="R13" s="4" t="n"/>
      <c r="S13" s="4" t="n"/>
      <c r="T13" s="4" t="n"/>
      <c r="U13" s="4">
        <f>COUNTIF(E13:T13,"○")</f>
        <v/>
      </c>
      <c r="V13" s="4">
        <f>COUNTIF(E13:T13,"상")</f>
        <v/>
      </c>
      <c r="W13" s="5" t="inlineStr">
        <is>
          <t>p-1 전시·디자인 주제 → p-2 짝과 공동 탐구 질문 완성 → p-3 디자인 학술 자료 5개+메모(김다경과 공동)</t>
        </is>
      </c>
    </row>
    <row r="14" ht="36" customHeight="1">
      <c r="A14" s="4" t="n">
        <v>10410</v>
      </c>
      <c r="B14" s="4" t="inlineStr">
        <is>
          <t>마시후</t>
        </is>
      </c>
      <c r="C14" s="4" t="inlineStr">
        <is>
          <t>주제탐구</t>
        </is>
      </c>
      <c r="D14" s="5" t="inlineStr">
        <is>
          <t>우주방사선과 파일럿의 건강</t>
        </is>
      </c>
      <c r="E14" s="4" t="inlineStr">
        <is>
          <t>○</t>
        </is>
      </c>
      <c r="F14" s="4" t="inlineStr">
        <is>
          <t>중</t>
        </is>
      </c>
      <c r="G14" s="4" t="inlineStr">
        <is>
          <t>○</t>
        </is>
      </c>
      <c r="H14" s="4" t="inlineStr">
        <is>
          <t>중</t>
        </is>
      </c>
      <c r="I14" s="4" t="inlineStr">
        <is>
          <t>○</t>
        </is>
      </c>
      <c r="J14" s="4" t="inlineStr">
        <is>
          <t>상</t>
        </is>
      </c>
      <c r="K14" s="4" t="n"/>
      <c r="L14" s="4" t="n"/>
      <c r="M14" s="4" t="n"/>
      <c r="N14" s="4" t="n"/>
      <c r="O14" s="4" t="n"/>
      <c r="P14" s="4" t="n"/>
      <c r="Q14" s="4" t="n"/>
      <c r="R14" s="4" t="n"/>
      <c r="S14" s="4" t="n"/>
      <c r="T14" s="4" t="n"/>
      <c r="U14" s="4">
        <f>COUNTIF(E14:T14,"○")</f>
        <v/>
      </c>
      <c r="V14" s="4">
        <f>COUNTIF(E14:T14,"상")</f>
        <v/>
      </c>
      <c r="W14" s="5" t="inlineStr">
        <is>
          <t>p-1 파일럿 관심(판독 어려움) → p-2 우주방사선과 건강으로 구체화 → p-3 자료 5개+메모(블로그·나무위키 출처 보완 필요)</t>
        </is>
      </c>
    </row>
    <row r="15" ht="36" customHeight="1">
      <c r="A15" s="4" t="n">
        <v>10411</v>
      </c>
      <c r="B15" s="4" t="inlineStr">
        <is>
          <t>신소연</t>
        </is>
      </c>
      <c r="C15" s="4" t="inlineStr">
        <is>
          <t>주제탐구</t>
        </is>
      </c>
      <c r="D15" s="5" t="inlineStr">
        <is>
          <t>배터리 사용 증가와 환경·자원 문제</t>
        </is>
      </c>
      <c r="E15" s="4" t="inlineStr">
        <is>
          <t>○</t>
        </is>
      </c>
      <c r="F15" s="4" t="inlineStr">
        <is>
          <t>중</t>
        </is>
      </c>
      <c r="G15" s="4" t="inlineStr">
        <is>
          <t>○</t>
        </is>
      </c>
      <c r="H15" s="4" t="inlineStr">
        <is>
          <t>상</t>
        </is>
      </c>
      <c r="I15" s="4" t="inlineStr">
        <is>
          <t>○</t>
        </is>
      </c>
      <c r="J15" s="4" t="inlineStr">
        <is>
          <t>중</t>
        </is>
      </c>
      <c r="K15" s="4" t="n"/>
      <c r="L15" s="4" t="n"/>
      <c r="M15" s="4" t="n"/>
      <c r="N15" s="4" t="n"/>
      <c r="O15" s="4" t="n"/>
      <c r="P15" s="4" t="n"/>
      <c r="Q15" s="4" t="n"/>
      <c r="R15" s="4" t="n"/>
      <c r="S15" s="4" t="n"/>
      <c r="T15" s="4" t="n"/>
      <c r="U15" s="4">
        <f>COUNTIF(E15:T15,"○")</f>
        <v/>
      </c>
      <c r="V15" s="4">
        <f>COUNTIF(E15:T15,"상")</f>
        <v/>
      </c>
      <c r="W15" s="5" t="inlineStr">
        <is>
          <t>p-1 세 트랙 모두 작성(습관 체크) → p-2 주제탐구·배터리로 변경 → p-3 배터리 자료 3개(요약이 단어 나열)</t>
        </is>
      </c>
    </row>
    <row r="16" ht="36" customHeight="1">
      <c r="A16" s="4" t="n">
        <v>10412</v>
      </c>
      <c r="B16" s="4" t="inlineStr">
        <is>
          <t>엄시호</t>
        </is>
      </c>
      <c r="C16" s="4" t="inlineStr">
        <is>
          <t>주제탐구</t>
        </is>
      </c>
      <c r="D16" s="5" t="inlineStr">
        <is>
          <t>미래 공무원의 변화</t>
        </is>
      </c>
      <c r="E16" s="4" t="inlineStr">
        <is>
          <t>○</t>
        </is>
      </c>
      <c r="F16" s="4" t="inlineStr">
        <is>
          <t>하</t>
        </is>
      </c>
      <c r="G16" s="4" t="inlineStr">
        <is>
          <t>○</t>
        </is>
      </c>
      <c r="H16" s="4" t="inlineStr">
        <is>
          <t>중</t>
        </is>
      </c>
      <c r="I16" s="4" t="inlineStr">
        <is>
          <t>○</t>
        </is>
      </c>
      <c r="J16" s="4" t="inlineStr">
        <is>
          <t>상</t>
        </is>
      </c>
      <c r="K16" s="4" t="n"/>
      <c r="L16" s="4" t="n"/>
      <c r="M16" s="4" t="n"/>
      <c r="N16" s="4" t="n"/>
      <c r="O16" s="4" t="n"/>
      <c r="P16" s="4" t="n"/>
      <c r="Q16" s="4" t="n"/>
      <c r="R16" s="4" t="n"/>
      <c r="S16" s="4" t="n"/>
      <c r="T16" s="4" t="n"/>
      <c r="U16" s="4">
        <f>COUNTIF(E16:T16,"○")</f>
        <v/>
      </c>
      <c r="V16" s="4">
        <f>COUNTIF(E16:T16,"상")</f>
        <v/>
      </c>
      <c r="W16" s="5" t="inlineStr">
        <is>
          <t>p-1 '편하고 안정적' 공무원 → p-2 미래 공무원 질문(자료원 1건) → p-3 정책브리핑 등 5개로 보완, 메모는 짧음</t>
        </is>
      </c>
    </row>
    <row r="17" ht="36" customHeight="1">
      <c r="A17" s="4" t="n">
        <v>10413</v>
      </c>
      <c r="B17" s="4" t="inlineStr">
        <is>
          <t>유영하</t>
        </is>
      </c>
      <c r="C17" s="4" t="inlineStr">
        <is>
          <t>습관형성</t>
        </is>
      </c>
      <c r="D17" s="5" t="inlineStr">
        <is>
          <t>공부 습관(중간고사 평균 60점, 진영원과 함께)</t>
        </is>
      </c>
      <c r="E17" s="4" t="inlineStr">
        <is>
          <t>○</t>
        </is>
      </c>
      <c r="F17" s="4" t="inlineStr">
        <is>
          <t>하</t>
        </is>
      </c>
      <c r="G17" s="4" t="inlineStr">
        <is>
          <t>○</t>
        </is>
      </c>
      <c r="H17" s="4" t="inlineStr">
        <is>
          <t>중</t>
        </is>
      </c>
      <c r="I17" s="4" t="inlineStr">
        <is>
          <t>×</t>
        </is>
      </c>
      <c r="J17" s="4" t="n"/>
      <c r="K17" s="4" t="n"/>
      <c r="L17" s="4" t="n"/>
      <c r="M17" s="4" t="n"/>
      <c r="N17" s="4" t="n"/>
      <c r="O17" s="4" t="n"/>
      <c r="P17" s="4" t="n"/>
      <c r="Q17" s="4" t="n"/>
      <c r="R17" s="4" t="n"/>
      <c r="S17" s="4" t="n"/>
      <c r="T17" s="4" t="n"/>
      <c r="U17" s="4">
        <f>COUNTIF(E17:T17,"○")</f>
        <v/>
      </c>
      <c r="V17" s="4">
        <f>COUNTIF(E17:T17,"상")</f>
        <v/>
      </c>
      <c r="W17" s="5" t="inlineStr">
        <is>
          <t>p-1 진로독서('아직 꿈이 없다') → p-2 습관형성으로 변경 → p-3 미제출</t>
        </is>
      </c>
    </row>
    <row r="18" ht="36" customHeight="1">
      <c r="A18" s="4" t="n">
        <v>10414</v>
      </c>
      <c r="B18" s="4" t="inlineStr">
        <is>
          <t>이현지</t>
        </is>
      </c>
      <c r="C18" s="4" t="inlineStr">
        <is>
          <t>주제탐구</t>
        </is>
      </c>
      <c r="D18" s="5" t="inlineStr">
        <is>
          <t>무료 서비스 기업의 수익 창출(프리미엄 모델)</t>
        </is>
      </c>
      <c r="E18" s="4" t="inlineStr">
        <is>
          <t>○</t>
        </is>
      </c>
      <c r="F18" s="4" t="inlineStr">
        <is>
          <t>하</t>
        </is>
      </c>
      <c r="G18" s="4" t="inlineStr">
        <is>
          <t>○</t>
        </is>
      </c>
      <c r="H18" s="4" t="inlineStr">
        <is>
          <t>상</t>
        </is>
      </c>
      <c r="I18" s="4" t="inlineStr">
        <is>
          <t>○</t>
        </is>
      </c>
      <c r="J18" s="4" t="inlineStr">
        <is>
          <t>상</t>
        </is>
      </c>
      <c r="K18" s="4" t="n"/>
      <c r="L18" s="4" t="n"/>
      <c r="M18" s="4" t="n"/>
      <c r="N18" s="4" t="n"/>
      <c r="O18" s="4" t="n"/>
      <c r="P18" s="4" t="n"/>
      <c r="Q18" s="4" t="n"/>
      <c r="R18" s="4" t="n"/>
      <c r="S18" s="4" t="n"/>
      <c r="T18" s="4" t="n"/>
      <c r="U18" s="4">
        <f>COUNTIF(E18:T18,"○")</f>
        <v/>
      </c>
      <c r="V18" s="4">
        <f>COUNTIF(E18:T18,"상")</f>
        <v/>
      </c>
      <c r="W18" s="5" t="inlineStr">
        <is>
          <t>p-1 경영 관심·주제 미정 → p-2 무료 서비스 수익 모델 질문 완성 → p-3 영문 학술 논문 3개, 상반된 결과 비교 가능</t>
        </is>
      </c>
    </row>
    <row r="19" ht="36" customHeight="1">
      <c r="A19" s="4" t="n">
        <v>10415</v>
      </c>
      <c r="B19" s="4" t="inlineStr">
        <is>
          <t>장하윤</t>
        </is>
      </c>
      <c r="C19" s="4" t="inlineStr">
        <is>
          <t>주제탐구</t>
        </is>
      </c>
      <c r="D19" s="5" t="inlineStr">
        <is>
          <t>병원 방사선 분야 마케팅 전략(최맑음과 공동)</t>
        </is>
      </c>
      <c r="E19" s="4" t="inlineStr">
        <is>
          <t>○</t>
        </is>
      </c>
      <c r="F19" s="4" t="inlineStr">
        <is>
          <t>중</t>
        </is>
      </c>
      <c r="G19" s="4" t="inlineStr">
        <is>
          <t>○</t>
        </is>
      </c>
      <c r="H19" s="4" t="inlineStr">
        <is>
          <t>하</t>
        </is>
      </c>
      <c r="I19" s="4" t="inlineStr">
        <is>
          <t>○</t>
        </is>
      </c>
      <c r="J19" s="4" t="inlineStr">
        <is>
          <t>상</t>
        </is>
      </c>
      <c r="K19" s="4" t="n"/>
      <c r="L19" s="4" t="n"/>
      <c r="M19" s="4" t="n"/>
      <c r="N19" s="4" t="n"/>
      <c r="O19" s="4" t="n"/>
      <c r="P19" s="4" t="n"/>
      <c r="Q19" s="4" t="n"/>
      <c r="R19" s="4" t="n"/>
      <c r="S19" s="4" t="n"/>
      <c r="T19" s="4" t="n"/>
      <c r="U19" s="4">
        <f>COUNTIF(E19:T19,"○")</f>
        <v/>
      </c>
      <c r="V19" s="4">
        <f>COUNTIF(E19:T19,"상")</f>
        <v/>
      </c>
      <c r="W19" s="5" t="inlineStr">
        <is>
          <t>p-1 업계 광고 → p-2 병원 방사선 마케팅(하위 질문 중단) → p-3 인식 조사·의료광고법·논문 3개(최맑음과 동일)</t>
        </is>
      </c>
    </row>
    <row r="20" ht="36" customHeight="1">
      <c r="A20" s="4" t="n">
        <v>10416</v>
      </c>
      <c r="B20" s="4" t="inlineStr">
        <is>
          <t>조수아</t>
        </is>
      </c>
      <c r="C20" s="4" t="inlineStr">
        <is>
          <t>주제탐구</t>
        </is>
      </c>
      <c r="D20" s="5" t="inlineStr">
        <is>
          <t>법률 문서를 쉽게 쓰는 방법</t>
        </is>
      </c>
      <c r="E20" s="4" t="inlineStr">
        <is>
          <t>○</t>
        </is>
      </c>
      <c r="F20" s="4" t="inlineStr">
        <is>
          <t>중</t>
        </is>
      </c>
      <c r="G20" s="4" t="inlineStr">
        <is>
          <t>○</t>
        </is>
      </c>
      <c r="H20" s="4" t="inlineStr">
        <is>
          <t>상</t>
        </is>
      </c>
      <c r="I20" s="4" t="inlineStr">
        <is>
          <t>○</t>
        </is>
      </c>
      <c r="J20" s="4" t="inlineStr">
        <is>
          <t>상</t>
        </is>
      </c>
      <c r="K20" s="4" t="n"/>
      <c r="L20" s="4" t="n"/>
      <c r="M20" s="4" t="n"/>
      <c r="N20" s="4" t="n"/>
      <c r="O20" s="4" t="n"/>
      <c r="P20" s="4" t="n"/>
      <c r="Q20" s="4" t="n"/>
      <c r="R20" s="4" t="n"/>
      <c r="S20" s="4" t="n"/>
      <c r="T20" s="4" t="n"/>
      <c r="U20" s="4">
        <f>COUNTIF(E20:T20,"○")</f>
        <v/>
      </c>
      <c r="V20" s="4">
        <f>COUNTIF(E20:T20,"상")</f>
        <v/>
      </c>
      <c r="W20" s="5" t="inlineStr">
        <is>
          <t>p-1 사회 수업에서 법 관심 → p-2 반 최고 수준 탐구계획서 → p-3 공식자료·기사·책·논문 5개+메모(반 최고 수준)</t>
        </is>
      </c>
    </row>
    <row r="21" ht="36" customHeight="1">
      <c r="A21" s="4" t="n">
        <v>10417</v>
      </c>
      <c r="B21" s="4" t="inlineStr">
        <is>
          <t>주하랑</t>
        </is>
      </c>
      <c r="C21" s="4" t="inlineStr">
        <is>
          <t>주제탐구</t>
        </is>
      </c>
      <c r="D21" s="5" t="inlineStr">
        <is>
          <t>AI 시대 인류의 진화(자연선택)</t>
        </is>
      </c>
      <c r="E21" s="4" t="inlineStr">
        <is>
          <t>○</t>
        </is>
      </c>
      <c r="F21" s="4" t="inlineStr">
        <is>
          <t>중</t>
        </is>
      </c>
      <c r="G21" s="4" t="inlineStr">
        <is>
          <t>○</t>
        </is>
      </c>
      <c r="H21" s="4" t="inlineStr">
        <is>
          <t>중</t>
        </is>
      </c>
      <c r="I21" s="4" t="inlineStr">
        <is>
          <t>○</t>
        </is>
      </c>
      <c r="J21" s="4" t="inlineStr">
        <is>
          <t>상</t>
        </is>
      </c>
      <c r="K21" s="4" t="n"/>
      <c r="L21" s="4" t="n"/>
      <c r="M21" s="4" t="n"/>
      <c r="N21" s="4" t="n"/>
      <c r="O21" s="4" t="n"/>
      <c r="P21" s="4" t="n"/>
      <c r="Q21" s="4" t="n"/>
      <c r="R21" s="4" t="n"/>
      <c r="S21" s="4" t="n"/>
      <c r="T21" s="4" t="n"/>
      <c r="U21" s="4">
        <f>COUNTIF(E21:T21,"○")</f>
        <v/>
      </c>
      <c r="V21" s="4">
        <f>COUNTIF(E21:T21,"상")</f>
        <v/>
      </c>
      <c r="W21" s="5" t="inlineStr">
        <is>
          <t>p-1 간호·생명윤리 → p-2 AI 시대 인류 진화(자료원 미기재) → p-3 OECD·WHO·Nature·PNAS 4개+메모</t>
        </is>
      </c>
    </row>
    <row r="22" ht="36" customHeight="1">
      <c r="A22" s="4" t="n">
        <v>10418</v>
      </c>
      <c r="B22" s="4" t="inlineStr">
        <is>
          <t>진영원</t>
        </is>
      </c>
      <c r="C22" s="4" t="inlineStr">
        <is>
          <t>습관형성</t>
        </is>
      </c>
      <c r="D22" s="5" t="inlineStr">
        <is>
          <t>하루 30분 이상 공부(유영하와 함께)</t>
        </is>
      </c>
      <c r="E22" s="4" t="inlineStr">
        <is>
          <t>○</t>
        </is>
      </c>
      <c r="F22" s="4" t="inlineStr">
        <is>
          <t>하</t>
        </is>
      </c>
      <c r="G22" s="4" t="inlineStr">
        <is>
          <t>○</t>
        </is>
      </c>
      <c r="H22" s="4" t="inlineStr">
        <is>
          <t>중</t>
        </is>
      </c>
      <c r="I22" s="4" t="inlineStr">
        <is>
          <t>○</t>
        </is>
      </c>
      <c r="J22" s="4" t="inlineStr">
        <is>
          <t>상</t>
        </is>
      </c>
      <c r="K22" s="4" t="n"/>
      <c r="L22" s="4" t="n"/>
      <c r="M22" s="4" t="n"/>
      <c r="N22" s="4" t="n"/>
      <c r="O22" s="4" t="n"/>
      <c r="P22" s="4" t="n"/>
      <c r="Q22" s="4" t="n"/>
      <c r="R22" s="4" t="n"/>
      <c r="S22" s="4" t="n"/>
      <c r="T22" s="4" t="n"/>
      <c r="U22" s="4">
        <f>COUNTIF(E22:T22,"○")</f>
        <v/>
      </c>
      <c r="V22" s="4">
        <f>COUNTIF(E22:T22,"상")</f>
        <v/>
      </c>
      <c r="W22" s="5" t="inlineStr">
        <is>
          <t>p-1 트랙 체크와 이유 불일치 → p-2 습관형성으로 정리 → p-3 공부 7/7일 기록, 핸드폰 분리 실천</t>
        </is>
      </c>
    </row>
    <row r="23" ht="36" customHeight="1">
      <c r="A23" s="4" t="n">
        <v>10419</v>
      </c>
      <c r="B23" s="4" t="inlineStr">
        <is>
          <t>최맑음</t>
        </is>
      </c>
      <c r="C23" s="4" t="inlineStr">
        <is>
          <t>주제탐구</t>
        </is>
      </c>
      <c r="D23" s="5" t="inlineStr">
        <is>
          <t>병원 방사선 분야 마케팅 전략(장하윤과 공동)</t>
        </is>
      </c>
      <c r="E23" s="4" t="inlineStr">
        <is>
          <t>○</t>
        </is>
      </c>
      <c r="F23" s="4" t="inlineStr">
        <is>
          <t>하</t>
        </is>
      </c>
      <c r="G23" s="4" t="inlineStr">
        <is>
          <t>○</t>
        </is>
      </c>
      <c r="H23" s="4" t="inlineStr">
        <is>
          <t>하</t>
        </is>
      </c>
      <c r="I23" s="4" t="inlineStr">
        <is>
          <t>○</t>
        </is>
      </c>
      <c r="J23" s="4" t="inlineStr">
        <is>
          <t>중</t>
        </is>
      </c>
      <c r="K23" s="4" t="n"/>
      <c r="L23" s="4" t="n"/>
      <c r="M23" s="4" t="n"/>
      <c r="N23" s="4" t="n"/>
      <c r="O23" s="4" t="n"/>
      <c r="P23" s="4" t="n"/>
      <c r="Q23" s="4" t="n"/>
      <c r="R23" s="4" t="n"/>
      <c r="S23" s="4" t="n"/>
      <c r="T23" s="4" t="n"/>
      <c r="U23" s="4">
        <f>COUNTIF(E23:T23,"○")</f>
        <v/>
      </c>
      <c r="V23" s="4">
        <f>COUNTIF(E23:T23,"상")</f>
        <v/>
      </c>
      <c r="W23" s="5" t="inlineStr">
        <is>
          <t>p-1 습관형성('진로 불확실') → p-2 장하윤과 주제탐구로 변경(질문 ①만) → p-3 장하윤과 동일한 자료 3개(역할 분담 확인 필요)</t>
        </is>
      </c>
    </row>
    <row r="24" ht="36" customHeight="1">
      <c r="A24" s="4" t="n">
        <v>10420</v>
      </c>
      <c r="B24" s="4" t="inlineStr">
        <is>
          <t>최송이</t>
        </is>
      </c>
      <c r="C24" s="4" t="inlineStr">
        <is>
          <t>주제탐구</t>
        </is>
      </c>
      <c r="D24" s="5" t="inlineStr">
        <is>
          <t>승무원 서비스 태도와 승객 만족도</t>
        </is>
      </c>
      <c r="E24" s="4" t="inlineStr">
        <is>
          <t>○</t>
        </is>
      </c>
      <c r="F24" s="4" t="inlineStr">
        <is>
          <t>상</t>
        </is>
      </c>
      <c r="G24" s="4" t="inlineStr">
        <is>
          <t>○</t>
        </is>
      </c>
      <c r="H24" s="4" t="inlineStr">
        <is>
          <t>상</t>
        </is>
      </c>
      <c r="I24" s="4" t="inlineStr">
        <is>
          <t>○</t>
        </is>
      </c>
      <c r="J24" s="4" t="inlineStr">
        <is>
          <t>상</t>
        </is>
      </c>
      <c r="K24" s="4" t="n"/>
      <c r="L24" s="4" t="n"/>
      <c r="M24" s="4" t="n"/>
      <c r="N24" s="4" t="n"/>
      <c r="O24" s="4" t="n"/>
      <c r="P24" s="4" t="n"/>
      <c r="Q24" s="4" t="n"/>
      <c r="R24" s="4" t="n"/>
      <c r="S24" s="4" t="n"/>
      <c r="T24" s="4" t="n"/>
      <c r="U24" s="4">
        <f>COUNTIF(E24:T24,"○")</f>
        <v/>
      </c>
      <c r="V24" s="4">
        <f>COUNTIF(E24:T24,"상")</f>
        <v/>
      </c>
      <c r="W24" s="5" t="inlineStr">
        <is>
          <t>p-1 승무원 의사소통·협업 → p-2 서비스 태도-만족도 질문 완성 → p-3 KCI 논문 5편+진로 연결 메모</t>
        </is>
      </c>
    </row>
    <row r="25" ht="36" customHeight="1">
      <c r="A25" s="4" t="n">
        <v>10421</v>
      </c>
      <c r="B25" s="4" t="inlineStr">
        <is>
          <t>최준서</t>
        </is>
      </c>
      <c r="C25" s="4" t="inlineStr">
        <is>
          <t>주제탐구</t>
        </is>
      </c>
      <c r="D25" s="5" t="inlineStr">
        <is>
          <t>AI 편향성과 사회적 편견</t>
        </is>
      </c>
      <c r="E25" s="4" t="inlineStr">
        <is>
          <t>○</t>
        </is>
      </c>
      <c r="F25" s="4" t="inlineStr">
        <is>
          <t>상</t>
        </is>
      </c>
      <c r="G25" s="4" t="inlineStr">
        <is>
          <t>○</t>
        </is>
      </c>
      <c r="H25" s="4" t="inlineStr">
        <is>
          <t>상</t>
        </is>
      </c>
      <c r="I25" s="4" t="inlineStr">
        <is>
          <t>○</t>
        </is>
      </c>
      <c r="J25" s="4" t="inlineStr">
        <is>
          <t>상</t>
        </is>
      </c>
      <c r="K25" s="4" t="n"/>
      <c r="L25" s="4" t="n"/>
      <c r="M25" s="4" t="n"/>
      <c r="N25" s="4" t="n"/>
      <c r="O25" s="4" t="n"/>
      <c r="P25" s="4" t="n"/>
      <c r="Q25" s="4" t="n"/>
      <c r="R25" s="4" t="n"/>
      <c r="S25" s="4" t="n"/>
      <c r="T25" s="4" t="n"/>
      <c r="U25" s="4">
        <f>COUNTIF(E25:T25,"○")</f>
        <v/>
      </c>
      <c r="V25" s="4">
        <f>COUNTIF(E25:T25,"상")</f>
        <v/>
      </c>
      <c r="W25" s="5" t="inlineStr">
        <is>
          <t>p-1 AI 편향성·공정성 → p-2 수준 높은 탐구 질문 → p-3 AI 편향 기사 3개(대안 자료 보완 필요)</t>
        </is>
      </c>
    </row>
    <row r="26" ht="36" customHeight="1">
      <c r="A26" s="4" t="n">
        <v>10422</v>
      </c>
      <c r="B26" s="4" t="inlineStr">
        <is>
          <t>최환</t>
        </is>
      </c>
      <c r="C26" s="4" t="inlineStr">
        <is>
          <t>습관형성</t>
        </is>
      </c>
      <c r="D26" s="5" t="inlineStr">
        <is>
          <t>운동 5종 20개씩(김강민과 함께)</t>
        </is>
      </c>
      <c r="E26" s="4" t="inlineStr">
        <is>
          <t>○</t>
        </is>
      </c>
      <c r="F26" s="4" t="inlineStr">
        <is>
          <t>상</t>
        </is>
      </c>
      <c r="G26" s="4" t="inlineStr">
        <is>
          <t>○</t>
        </is>
      </c>
      <c r="H26" s="4" t="inlineStr">
        <is>
          <t>상</t>
        </is>
      </c>
      <c r="I26" s="4" t="inlineStr">
        <is>
          <t>○</t>
        </is>
      </c>
      <c r="J26" s="4" t="inlineStr">
        <is>
          <t>상</t>
        </is>
      </c>
      <c r="K26" s="4" t="n"/>
      <c r="L26" s="4" t="n"/>
      <c r="M26" s="4" t="n"/>
      <c r="N26" s="4" t="n"/>
      <c r="O26" s="4" t="n"/>
      <c r="P26" s="4" t="n"/>
      <c r="Q26" s="4" t="n"/>
      <c r="R26" s="4" t="n"/>
      <c r="S26" s="4" t="n"/>
      <c r="T26" s="4" t="n"/>
      <c r="U26" s="4">
        <f>COUNTIF(E26:T26,"○")</f>
        <v/>
      </c>
      <c r="V26" s="4">
        <f>COUNTIF(E26:T26,"상")</f>
        <v/>
      </c>
      <c r="W26" s="5" t="inlineStr">
        <is>
          <t>p-1 규칙적 생활 위해 운동 습관 → p-2 SMART 목표 빠짐없이 작성 → p-3 운동 6/7일 상세 기록, 짝과 서로 응원</t>
        </is>
      </c>
    </row>
    <row r="27" ht="36" customHeight="1">
      <c r="A27" s="4" t="n">
        <v>10423</v>
      </c>
      <c r="B27" s="4" t="inlineStr">
        <is>
          <t>황현준</t>
        </is>
      </c>
      <c r="C27" s="4" t="inlineStr">
        <is>
          <t>주제탐구</t>
        </is>
      </c>
      <c r="D27" s="5" t="inlineStr">
        <is>
          <t>소설가와 가수의 창작 과정 차이(김영우와 공동)</t>
        </is>
      </c>
      <c r="E27" s="4" t="inlineStr">
        <is>
          <t>○</t>
        </is>
      </c>
      <c r="F27" s="4" t="inlineStr">
        <is>
          <t>중</t>
        </is>
      </c>
      <c r="G27" s="4" t="inlineStr">
        <is>
          <t>○</t>
        </is>
      </c>
      <c r="H27" s="4" t="inlineStr">
        <is>
          <t>중</t>
        </is>
      </c>
      <c r="I27" s="4" t="inlineStr">
        <is>
          <t>○</t>
        </is>
      </c>
      <c r="J27" s="4" t="inlineStr">
        <is>
          <t>중</t>
        </is>
      </c>
      <c r="K27" s="4" t="n"/>
      <c r="L27" s="4" t="n"/>
      <c r="M27" s="4" t="n"/>
      <c r="N27" s="4" t="n"/>
      <c r="O27" s="4" t="n"/>
      <c r="P27" s="4" t="n"/>
      <c r="Q27" s="4" t="n"/>
      <c r="R27" s="4" t="n"/>
      <c r="S27" s="4" t="n"/>
      <c r="T27" s="4" t="n"/>
      <c r="U27" s="4">
        <f>COUNTIF(E27:T27,"○")</f>
        <v/>
      </c>
      <c r="V27" s="4">
        <f>COUNTIF(E27:T27,"상")</f>
        <v/>
      </c>
      <c r="W27" s="5" t="inlineStr">
        <is>
          <t>p-1 가수·군인 → p-2 짝과 '소설가 vs 가수'(자료원 유튜브뿐) → p-3 직업정보 사이트 3개+메모(창작 과정 자료 부족)</t>
        </is>
      </c>
    </row>
    <row r="28" ht="36" customHeight="1">
      <c r="A28" s="4" t="n">
        <v>10424</v>
      </c>
      <c r="B28" s="4" t="inlineStr">
        <is>
          <t>김다경</t>
        </is>
      </c>
      <c r="C28" s="4" t="inlineStr">
        <is>
          <t>주제탐구</t>
        </is>
      </c>
      <c r="D28" s="5" t="inlineStr">
        <is>
          <t>전시·SNS 광고 디자인과 소비자 구매 욕구(김효신과 공동)</t>
        </is>
      </c>
      <c r="E28" s="4" t="inlineStr">
        <is>
          <t>○</t>
        </is>
      </c>
      <c r="F28" s="4" t="inlineStr">
        <is>
          <t>상</t>
        </is>
      </c>
      <c r="G28" s="4" t="inlineStr">
        <is>
          <t>○</t>
        </is>
      </c>
      <c r="H28" s="4" t="inlineStr">
        <is>
          <t>상</t>
        </is>
      </c>
      <c r="I28" s="4" t="inlineStr">
        <is>
          <t>○</t>
        </is>
      </c>
      <c r="J28" s="4" t="inlineStr">
        <is>
          <t>상</t>
        </is>
      </c>
      <c r="K28" s="4" t="n"/>
      <c r="L28" s="4" t="n"/>
      <c r="M28" s="4" t="n"/>
      <c r="N28" s="4" t="n"/>
      <c r="O28" s="4" t="n"/>
      <c r="P28" s="4" t="n"/>
      <c r="Q28" s="4" t="n"/>
      <c r="R28" s="4" t="n"/>
      <c r="S28" s="4" t="n"/>
      <c r="T28" s="4" t="n"/>
      <c r="U28" s="4">
        <f>COUNTIF(E28:T28,"○")</f>
        <v/>
      </c>
      <c r="V28" s="4">
        <f>COUNTIF(E28:T28,"상")</f>
        <v/>
      </c>
      <c r="W28" s="5" t="inlineStr">
        <is>
          <t>p-1 SNS 광고 주제 → p-2 짝과 공동 탐구 질문 완성 → p-3 디자인 학술 자료 5개+메모(김효신과 공동)</t>
        </is>
      </c>
    </row>
    <row r="30">
      <c r="A30" s="25" t="inlineStr">
        <is>
          <t>제출 인원(○)</t>
        </is>
      </c>
      <c r="B30" s="25" t="n"/>
      <c r="C30" s="25" t="n"/>
      <c r="D30" s="25" t="n"/>
      <c r="E30" s="25">
        <f>IF(COUNTA(E6:E28)=0,"",COUNTIF(E6:E28,"○"))</f>
        <v/>
      </c>
      <c r="F30" s="25" t="n"/>
      <c r="G30" s="25">
        <f>IF(COUNTA(G6:G28)=0,"",COUNTIF(G6:G28,"○"))</f>
        <v/>
      </c>
      <c r="H30" s="25" t="n"/>
      <c r="I30" s="25">
        <f>IF(COUNTA(I6:I28)=0,"",COUNTIF(I6:I28,"○"))</f>
        <v/>
      </c>
      <c r="J30" s="25" t="n"/>
      <c r="K30" s="25">
        <f>IF(COUNTA(K6:K28)=0,"",COUNTIF(K6:K28,"○"))</f>
        <v/>
      </c>
      <c r="L30" s="25" t="n"/>
      <c r="M30" s="25">
        <f>IF(COUNTA(M6:M28)=0,"",COUNTIF(M6:M28,"○"))</f>
        <v/>
      </c>
      <c r="N30" s="25" t="n"/>
      <c r="O30" s="25">
        <f>IF(COUNTA(O6:O28)=0,"",COUNTIF(O6:O28,"○"))</f>
        <v/>
      </c>
      <c r="P30" s="25" t="n"/>
      <c r="Q30" s="25">
        <f>IF(COUNTA(Q6:Q28)=0,"",COUNTIF(Q6:Q28,"○"))</f>
        <v/>
      </c>
      <c r="R30" s="25" t="n"/>
      <c r="S30" s="25">
        <f>IF(COUNTA(S6:S28)=0,"",COUNTIF(S6:S28,"○"))</f>
        <v/>
      </c>
      <c r="T30" s="25" t="n"/>
      <c r="U30" s="25" t="n"/>
      <c r="V30" s="25" t="n"/>
      <c r="W30" s="25" t="n"/>
    </row>
    <row r="31">
      <c r="A31" s="25" t="inlineStr">
        <is>
          <t>미제출(×)</t>
        </is>
      </c>
      <c r="B31" s="25" t="n"/>
      <c r="C31" s="25" t="n"/>
      <c r="D31" s="25" t="n"/>
      <c r="E31" s="25">
        <f>IF(COUNTA(E6:E28)=0,"",COUNTIF(E6:E28,"×"))</f>
        <v/>
      </c>
      <c r="F31" s="25" t="n"/>
      <c r="G31" s="25">
        <f>IF(COUNTA(G6:G28)=0,"",COUNTIF(G6:G28,"×"))</f>
        <v/>
      </c>
      <c r="H31" s="25" t="n"/>
      <c r="I31" s="25">
        <f>IF(COUNTA(I6:I28)=0,"",COUNTIF(I6:I28,"×"))</f>
        <v/>
      </c>
      <c r="J31" s="25" t="n"/>
      <c r="K31" s="25">
        <f>IF(COUNTA(K6:K28)=0,"",COUNTIF(K6:K28,"×"))</f>
        <v/>
      </c>
      <c r="L31" s="25" t="n"/>
      <c r="M31" s="25">
        <f>IF(COUNTA(M6:M28)=0,"",COUNTIF(M6:M28,"×"))</f>
        <v/>
      </c>
      <c r="N31" s="25" t="n"/>
      <c r="O31" s="25">
        <f>IF(COUNTA(O6:O28)=0,"",COUNTIF(O6:O28,"×"))</f>
        <v/>
      </c>
      <c r="P31" s="25" t="n"/>
      <c r="Q31" s="25">
        <f>IF(COUNTA(Q6:Q28)=0,"",COUNTIF(Q6:Q28,"×"))</f>
        <v/>
      </c>
      <c r="R31" s="25" t="n"/>
      <c r="S31" s="25">
        <f>IF(COUNTA(S6:S28)=0,"",COUNTIF(S6:S28,"×"))</f>
        <v/>
      </c>
      <c r="T31" s="25" t="n"/>
      <c r="U31" s="25" t="n"/>
      <c r="V31" s="25" t="n"/>
      <c r="W31" s="25" t="n"/>
    </row>
    <row r="32">
      <c r="A32" s="25" t="inlineStr">
        <is>
          <t>상</t>
        </is>
      </c>
      <c r="B32" s="25" t="n"/>
      <c r="C32" s="25" t="n"/>
      <c r="D32" s="25" t="n"/>
      <c r="E32" s="25" t="n"/>
      <c r="F32" s="25">
        <f>IF(COUNTA(F6:F28)=0,"",COUNTIF(F6:F28,"상"))</f>
        <v/>
      </c>
      <c r="G32" s="25" t="n"/>
      <c r="H32" s="25">
        <f>IF(COUNTA(H6:H28)=0,"",COUNTIF(H6:H28,"상"))</f>
        <v/>
      </c>
      <c r="I32" s="25" t="n"/>
      <c r="J32" s="25">
        <f>IF(COUNTA(J6:J28)=0,"",COUNTIF(J6:J28,"상"))</f>
        <v/>
      </c>
      <c r="K32" s="25" t="n"/>
      <c r="L32" s="25">
        <f>IF(COUNTA(L6:L28)=0,"",COUNTIF(L6:L28,"상"))</f>
        <v/>
      </c>
      <c r="M32" s="25" t="n"/>
      <c r="N32" s="25">
        <f>IF(COUNTA(N6:N28)=0,"",COUNTIF(N6:N28,"상"))</f>
        <v/>
      </c>
      <c r="O32" s="25" t="n"/>
      <c r="P32" s="25">
        <f>IF(COUNTA(P6:P28)=0,"",COUNTIF(P6:P28,"상"))</f>
        <v/>
      </c>
      <c r="Q32" s="25" t="n"/>
      <c r="R32" s="25">
        <f>IF(COUNTA(R6:R28)=0,"",COUNTIF(R6:R28,"상"))</f>
        <v/>
      </c>
      <c r="S32" s="25" t="n"/>
      <c r="T32" s="25">
        <f>IF(COUNTA(T6:T28)=0,"",COUNTIF(T6:T28,"상"))</f>
        <v/>
      </c>
      <c r="U32" s="25" t="n"/>
      <c r="V32" s="25" t="n"/>
      <c r="W32" s="25" t="n"/>
    </row>
    <row r="33">
      <c r="A33" s="25" t="inlineStr">
        <is>
          <t>중</t>
        </is>
      </c>
      <c r="B33" s="25" t="n"/>
      <c r="C33" s="25" t="n"/>
      <c r="D33" s="25" t="n"/>
      <c r="E33" s="25" t="n"/>
      <c r="F33" s="25">
        <f>IF(COUNTA(F6:F28)=0,"",COUNTIF(F6:F28,"중"))</f>
        <v/>
      </c>
      <c r="G33" s="25" t="n"/>
      <c r="H33" s="25">
        <f>IF(COUNTA(H6:H28)=0,"",COUNTIF(H6:H28,"중"))</f>
        <v/>
      </c>
      <c r="I33" s="25" t="n"/>
      <c r="J33" s="25">
        <f>IF(COUNTA(J6:J28)=0,"",COUNTIF(J6:J28,"중"))</f>
        <v/>
      </c>
      <c r="K33" s="25" t="n"/>
      <c r="L33" s="25">
        <f>IF(COUNTA(L6:L28)=0,"",COUNTIF(L6:L28,"중"))</f>
        <v/>
      </c>
      <c r="M33" s="25" t="n"/>
      <c r="N33" s="25">
        <f>IF(COUNTA(N6:N28)=0,"",COUNTIF(N6:N28,"중"))</f>
        <v/>
      </c>
      <c r="O33" s="25" t="n"/>
      <c r="P33" s="25">
        <f>IF(COUNTA(P6:P28)=0,"",COUNTIF(P6:P28,"중"))</f>
        <v/>
      </c>
      <c r="Q33" s="25" t="n"/>
      <c r="R33" s="25">
        <f>IF(COUNTA(R6:R28)=0,"",COUNTIF(R6:R28,"중"))</f>
        <v/>
      </c>
      <c r="S33" s="25" t="n"/>
      <c r="T33" s="25">
        <f>IF(COUNTA(T6:T28)=0,"",COUNTIF(T6:T28,"중"))</f>
        <v/>
      </c>
      <c r="U33" s="25" t="n"/>
      <c r="V33" s="25" t="n"/>
      <c r="W33" s="25" t="n"/>
    </row>
    <row r="34">
      <c r="A34" s="25" t="inlineStr">
        <is>
          <t>하</t>
        </is>
      </c>
      <c r="B34" s="25" t="n"/>
      <c r="C34" s="25" t="n"/>
      <c r="D34" s="25" t="n"/>
      <c r="E34" s="25" t="n"/>
      <c r="F34" s="25">
        <f>IF(COUNTA(F6:F28)=0,"",COUNTIF(F6:F28,"하"))</f>
        <v/>
      </c>
      <c r="G34" s="25" t="n"/>
      <c r="H34" s="25">
        <f>IF(COUNTA(H6:H28)=0,"",COUNTIF(H6:H28,"하"))</f>
        <v/>
      </c>
      <c r="I34" s="25" t="n"/>
      <c r="J34" s="25">
        <f>IF(COUNTA(J6:J28)=0,"",COUNTIF(J6:J28,"하"))</f>
        <v/>
      </c>
      <c r="K34" s="25" t="n"/>
      <c r="L34" s="25">
        <f>IF(COUNTA(L6:L28)=0,"",COUNTIF(L6:L28,"하"))</f>
        <v/>
      </c>
      <c r="M34" s="25" t="n"/>
      <c r="N34" s="25">
        <f>IF(COUNTA(N6:N28)=0,"",COUNTIF(N6:N28,"하"))</f>
        <v/>
      </c>
      <c r="O34" s="25" t="n"/>
      <c r="P34" s="25">
        <f>IF(COUNTA(P6:P28)=0,"",COUNTIF(P6:P28,"하"))</f>
        <v/>
      </c>
      <c r="Q34" s="25" t="n"/>
      <c r="R34" s="25">
        <f>IF(COUNTA(R6:R28)=0,"",COUNTIF(R6:R28,"하"))</f>
        <v/>
      </c>
      <c r="S34" s="25" t="n"/>
      <c r="T34" s="25">
        <f>IF(COUNTA(T6:T28)=0,"",COUNTIF(T6:T28,"하"))</f>
        <v/>
      </c>
      <c r="U34" s="25" t="n"/>
      <c r="V34" s="25" t="n"/>
      <c r="W34" s="25" t="n"/>
    </row>
  </sheetData>
  <mergeCells count="22">
    <mergeCell ref="C4:C5"/>
    <mergeCell ref="V4:V5"/>
    <mergeCell ref="E4:F4"/>
    <mergeCell ref="A1:W1"/>
    <mergeCell ref="A31:D31"/>
    <mergeCell ref="A32:D32"/>
    <mergeCell ref="A34:D34"/>
    <mergeCell ref="D4:D5"/>
    <mergeCell ref="A30:D30"/>
    <mergeCell ref="O4:P4"/>
    <mergeCell ref="Q4:R4"/>
    <mergeCell ref="A4:A5"/>
    <mergeCell ref="U4:U5"/>
    <mergeCell ref="A2:W2"/>
    <mergeCell ref="G4:H4"/>
    <mergeCell ref="I4:J4"/>
    <mergeCell ref="B4:B5"/>
    <mergeCell ref="W4:W5"/>
    <mergeCell ref="A33:D33"/>
    <mergeCell ref="K4:L4"/>
    <mergeCell ref="M4:N4"/>
    <mergeCell ref="S4:T4"/>
  </mergeCells>
  <conditionalFormatting sqref="E6:T28">
    <cfRule type="cellIs" priority="1" operator="equal" dxfId="0">
      <formula>"상"</formula>
    </cfRule>
    <cfRule type="cellIs" priority="2" operator="equal" dxfId="1">
      <formula>"중"</formula>
    </cfRule>
    <cfRule type="cellIs" priority="3" operator="equal" dxfId="2">
      <formula>"하"</formula>
    </cfRule>
    <cfRule type="cellIs" priority="4" operator="equal" dxfId="3">
      <formula>"×"</formula>
    </cfRule>
  </conditionalFormatting>
  <dataValidations count="2">
    <dataValidation sqref="E6:E28 G6:G28 I6:I28 K6:K28 M6:M28 O6:O28 Q6:Q28 S6:S28" showDropDown="0" showInputMessage="0" showErrorMessage="0" allowBlank="1" type="list">
      <formula1>"○,×"</formula1>
    </dataValidation>
    <dataValidation sqref="F6:F28 H6:H28 J6:J28 L6:L28 N6:N28 P6:P28 R6:R28 T6:T28" showDropDown="0" showInputMessage="0" showErrorMessage="0" allowBlank="1" type="list">
      <formula1>"상,중,하"</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43"/>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0"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18" customWidth="1" min="16" max="16"/>
    <col width="10" customWidth="1" min="17" max="17"/>
    <col width="34" customWidth="1" min="18" max="18"/>
  </cols>
  <sheetData>
    <row r="1">
      <c r="A1" s="1" t="inlineStr">
        <is>
          <t>1학년 4반 진로수업 차시 목록 및 제출·작성 현황</t>
        </is>
      </c>
    </row>
    <row r="2" ht="32" customHeight="1">
      <c r="A2" s="14" t="inlineStr">
        <is>
          <t>완료=대부분 작성 / 일부=일부 항목 미기재 / 미작성=빈 활동지 / - =이번 스캔본에 없음(또는 아직 미스캔). 10406은 어떤 스캔본에도 없어 시트를 만들지 않음. p-1~p-3 = 개별 진로 프로젝트 1~3차시(3종 트랙 중 1개 선택). 트랙 칸의 '→'는 1차시에 고른 트랙과 2차시에 실제 작성한 활동지 트랙이 다른 경우. p-3에서 10413 유영하는 활동지 없음.</t>
        </is>
      </c>
    </row>
    <row r="3"/>
    <row r="4" ht="30" customHeight="1">
      <c r="A4" s="15" t="inlineStr">
        <is>
          <t>학번</t>
        </is>
      </c>
      <c r="B4" s="15" t="inlineStr">
        <is>
          <t>이름</t>
        </is>
      </c>
      <c r="C4" s="15" t="inlineStr">
        <is>
          <t>1-1</t>
        </is>
      </c>
      <c r="D4" s="15" t="inlineStr">
        <is>
          <t>1-2</t>
        </is>
      </c>
      <c r="E4" s="15" t="inlineStr">
        <is>
          <t>1-3</t>
        </is>
      </c>
      <c r="F4" s="15" t="inlineStr">
        <is>
          <t>1-4</t>
        </is>
      </c>
      <c r="G4" s="15" t="inlineStr">
        <is>
          <t>1-5</t>
        </is>
      </c>
      <c r="H4" s="15" t="inlineStr">
        <is>
          <t>1-6</t>
        </is>
      </c>
      <c r="I4" s="15" t="inlineStr">
        <is>
          <t>1-7</t>
        </is>
      </c>
      <c r="J4" s="15" t="inlineStr">
        <is>
          <t>1-8</t>
        </is>
      </c>
      <c r="K4" s="15" t="inlineStr">
        <is>
          <t>최종</t>
        </is>
      </c>
      <c r="L4" s="15" t="inlineStr">
        <is>
          <t>2-2</t>
        </is>
      </c>
      <c r="M4" s="15" t="inlineStr">
        <is>
          <t>p-1</t>
        </is>
      </c>
      <c r="N4" s="15" t="inlineStr">
        <is>
          <t>p-2</t>
        </is>
      </c>
      <c r="O4" s="15" t="inlineStr">
        <is>
          <t>p-3</t>
        </is>
      </c>
      <c r="P4" s="15" t="inlineStr">
        <is>
          <t>프로젝트 트랙
(p-1→p-2)</t>
        </is>
      </c>
      <c r="Q4" s="15" t="inlineStr">
        <is>
          <t>이름 판독</t>
        </is>
      </c>
      <c r="R4" s="15" t="inlineStr">
        <is>
          <t>메모</t>
        </is>
      </c>
    </row>
    <row r="5">
      <c r="A5" s="4" t="inlineStr">
        <is>
          <t>10401</t>
        </is>
      </c>
      <c r="B5" s="4" t="inlineStr">
        <is>
          <t>강막심</t>
        </is>
      </c>
      <c r="C5" s="16" t="inlineStr">
        <is>
          <t>일부</t>
        </is>
      </c>
      <c r="D5" s="16" t="inlineStr">
        <is>
          <t>일부</t>
        </is>
      </c>
      <c r="E5" s="16" t="inlineStr">
        <is>
          <t>일부</t>
        </is>
      </c>
      <c r="F5" s="17" t="inlineStr">
        <is>
          <t>완료</t>
        </is>
      </c>
      <c r="G5" s="16" t="inlineStr">
        <is>
          <t>일부</t>
        </is>
      </c>
      <c r="H5" s="16" t="inlineStr">
        <is>
          <t>일부</t>
        </is>
      </c>
      <c r="I5" s="16" t="inlineStr">
        <is>
          <t>일부</t>
        </is>
      </c>
      <c r="J5" s="16" t="inlineStr">
        <is>
          <t>일부</t>
        </is>
      </c>
      <c r="K5" s="16" t="inlineStr">
        <is>
          <t>일부</t>
        </is>
      </c>
      <c r="L5" s="16" t="inlineStr">
        <is>
          <t>일부</t>
        </is>
      </c>
      <c r="M5" s="16" t="inlineStr">
        <is>
          <t>일부</t>
        </is>
      </c>
      <c r="N5" s="16" t="inlineStr">
        <is>
          <t>일부</t>
        </is>
      </c>
      <c r="O5" s="16" t="inlineStr">
        <is>
          <t>완료</t>
        </is>
      </c>
      <c r="P5" s="4" t="inlineStr">
        <is>
          <t>주제탐구</t>
        </is>
      </c>
      <c r="Q5" s="4" t="n"/>
      <c r="R5" s="18" t="n"/>
    </row>
    <row r="6">
      <c r="A6" s="4" t="inlineStr">
        <is>
          <t>10402</t>
        </is>
      </c>
      <c r="B6" s="4" t="inlineStr">
        <is>
          <t>심알료나</t>
        </is>
      </c>
      <c r="C6" s="16" t="inlineStr">
        <is>
          <t>일부</t>
        </is>
      </c>
      <c r="D6" s="16" t="inlineStr">
        <is>
          <t>일부</t>
        </is>
      </c>
      <c r="E6" s="19" t="inlineStr">
        <is>
          <t>-</t>
        </is>
      </c>
      <c r="F6" s="16" t="inlineStr">
        <is>
          <t>일부</t>
        </is>
      </c>
      <c r="G6" s="16" t="inlineStr">
        <is>
          <t>일부</t>
        </is>
      </c>
      <c r="H6" s="16" t="inlineStr">
        <is>
          <t>일부</t>
        </is>
      </c>
      <c r="I6" s="17" t="inlineStr">
        <is>
          <t>완료</t>
        </is>
      </c>
      <c r="J6" s="20" t="inlineStr">
        <is>
          <t>미작성</t>
        </is>
      </c>
      <c r="K6" s="20" t="inlineStr">
        <is>
          <t>미작성</t>
        </is>
      </c>
      <c r="L6" s="19" t="inlineStr">
        <is>
          <t>-</t>
        </is>
      </c>
      <c r="M6" s="16" t="inlineStr">
        <is>
          <t>일부</t>
        </is>
      </c>
      <c r="N6" s="17" t="inlineStr">
        <is>
          <t>완료</t>
        </is>
      </c>
      <c r="O6" s="17" t="inlineStr">
        <is>
          <t>일부</t>
        </is>
      </c>
      <c r="P6" s="4" t="inlineStr">
        <is>
          <t>주제탐구</t>
        </is>
      </c>
      <c r="Q6" s="4" t="n"/>
      <c r="R6" s="18" t="inlineStr">
        <is>
          <t>p-1 일부 러시아어로 작성(요지 번역)</t>
        </is>
      </c>
    </row>
    <row r="7">
      <c r="A7" s="4" t="inlineStr">
        <is>
          <t>10403</t>
        </is>
      </c>
      <c r="B7" s="4" t="inlineStr">
        <is>
          <t>김강민</t>
        </is>
      </c>
      <c r="C7" s="16" t="inlineStr">
        <is>
          <t>일부</t>
        </is>
      </c>
      <c r="D7" s="16" t="inlineStr">
        <is>
          <t>일부</t>
        </is>
      </c>
      <c r="E7" s="19" t="inlineStr">
        <is>
          <t>-</t>
        </is>
      </c>
      <c r="F7" s="16" t="inlineStr">
        <is>
          <t>일부</t>
        </is>
      </c>
      <c r="G7" s="16" t="inlineStr">
        <is>
          <t>일부</t>
        </is>
      </c>
      <c r="H7" s="16" t="inlineStr">
        <is>
          <t>일부</t>
        </is>
      </c>
      <c r="I7" s="16" t="inlineStr">
        <is>
          <t>일부</t>
        </is>
      </c>
      <c r="J7" s="16" t="inlineStr">
        <is>
          <t>일부</t>
        </is>
      </c>
      <c r="K7" s="16" t="inlineStr">
        <is>
          <t>일부</t>
        </is>
      </c>
      <c r="L7" s="17" t="inlineStr">
        <is>
          <t>완료</t>
        </is>
      </c>
      <c r="M7" s="17" t="inlineStr">
        <is>
          <t>완료</t>
        </is>
      </c>
      <c r="N7" s="17" t="inlineStr">
        <is>
          <t>완료</t>
        </is>
      </c>
      <c r="O7" s="17" t="inlineStr">
        <is>
          <t>완료</t>
        </is>
      </c>
      <c r="P7" s="4" t="inlineStr">
        <is>
          <t>습관형성</t>
        </is>
      </c>
      <c r="Q7" s="4" t="n"/>
      <c r="R7" s="18" t="n"/>
    </row>
    <row r="8">
      <c r="A8" s="4" t="inlineStr">
        <is>
          <t>10404</t>
        </is>
      </c>
      <c r="B8" s="4" t="inlineStr">
        <is>
          <t>김영광</t>
        </is>
      </c>
      <c r="C8" s="16" t="inlineStr">
        <is>
          <t>일부</t>
        </is>
      </c>
      <c r="D8" s="16" t="inlineStr">
        <is>
          <t>일부</t>
        </is>
      </c>
      <c r="E8" s="20" t="inlineStr">
        <is>
          <t>미작성</t>
        </is>
      </c>
      <c r="F8" s="17" t="inlineStr">
        <is>
          <t>완료</t>
        </is>
      </c>
      <c r="G8" s="16" t="inlineStr">
        <is>
          <t>일부</t>
        </is>
      </c>
      <c r="H8" s="16" t="inlineStr">
        <is>
          <t>일부</t>
        </is>
      </c>
      <c r="I8" s="16" t="inlineStr">
        <is>
          <t>일부</t>
        </is>
      </c>
      <c r="J8" s="16" t="inlineStr">
        <is>
          <t>일부</t>
        </is>
      </c>
      <c r="K8" s="16" t="inlineStr">
        <is>
          <t>일부</t>
        </is>
      </c>
      <c r="L8" s="17" t="inlineStr">
        <is>
          <t>완료</t>
        </is>
      </c>
      <c r="M8" s="17" t="inlineStr">
        <is>
          <t>완료</t>
        </is>
      </c>
      <c r="N8" s="17" t="inlineStr">
        <is>
          <t>완료</t>
        </is>
      </c>
      <c r="O8" s="17" t="inlineStr">
        <is>
          <t>완료</t>
        </is>
      </c>
      <c r="P8" s="4" t="inlineStr">
        <is>
          <t>주제탐구</t>
        </is>
      </c>
      <c r="Q8" s="4" t="n"/>
      <c r="R8" s="18" t="n"/>
    </row>
    <row r="9">
      <c r="A9" s="4" t="inlineStr">
        <is>
          <t>10405</t>
        </is>
      </c>
      <c r="B9" s="4" t="inlineStr">
        <is>
          <t>김영우</t>
        </is>
      </c>
      <c r="C9" s="16" t="inlineStr">
        <is>
          <t>일부</t>
        </is>
      </c>
      <c r="D9" s="19" t="inlineStr">
        <is>
          <t>-</t>
        </is>
      </c>
      <c r="E9" s="19" t="inlineStr">
        <is>
          <t>-</t>
        </is>
      </c>
      <c r="F9" s="17" t="inlineStr">
        <is>
          <t>완료</t>
        </is>
      </c>
      <c r="G9" s="16" t="inlineStr">
        <is>
          <t>일부</t>
        </is>
      </c>
      <c r="H9" s="16" t="inlineStr">
        <is>
          <t>일부</t>
        </is>
      </c>
      <c r="I9" s="16" t="inlineStr">
        <is>
          <t>일부</t>
        </is>
      </c>
      <c r="J9" s="16" t="inlineStr">
        <is>
          <t>일부</t>
        </is>
      </c>
      <c r="K9" s="16" t="inlineStr">
        <is>
          <t>일부</t>
        </is>
      </c>
      <c r="L9" s="19" t="inlineStr">
        <is>
          <t>-</t>
        </is>
      </c>
      <c r="M9" s="16" t="inlineStr">
        <is>
          <t>일부</t>
        </is>
      </c>
      <c r="N9" s="17" t="inlineStr">
        <is>
          <t>완료</t>
        </is>
      </c>
      <c r="O9" s="17" t="inlineStr">
        <is>
          <t>완료</t>
        </is>
      </c>
      <c r="P9" s="4" t="inlineStr">
        <is>
          <t>주제탐구</t>
        </is>
      </c>
      <c r="Q9" s="4" t="n"/>
      <c r="R9" s="18" t="n"/>
    </row>
    <row r="10">
      <c r="A10" s="4" t="inlineStr">
        <is>
          <t>10407</t>
        </is>
      </c>
      <c r="B10" s="4" t="inlineStr">
        <is>
          <t>김은조</t>
        </is>
      </c>
      <c r="C10" s="16" t="inlineStr">
        <is>
          <t>일부</t>
        </is>
      </c>
      <c r="D10" s="16" t="inlineStr">
        <is>
          <t>일부</t>
        </is>
      </c>
      <c r="E10" s="20" t="inlineStr">
        <is>
          <t>미작성</t>
        </is>
      </c>
      <c r="F10" s="16" t="inlineStr">
        <is>
          <t>일부</t>
        </is>
      </c>
      <c r="G10" s="16" t="inlineStr">
        <is>
          <t>일부</t>
        </is>
      </c>
      <c r="H10" s="16" t="inlineStr">
        <is>
          <t>일부</t>
        </is>
      </c>
      <c r="I10" s="16" t="inlineStr">
        <is>
          <t>일부</t>
        </is>
      </c>
      <c r="J10" s="16" t="inlineStr">
        <is>
          <t>일부</t>
        </is>
      </c>
      <c r="K10" s="16" t="inlineStr">
        <is>
          <t>일부</t>
        </is>
      </c>
      <c r="L10" s="16" t="inlineStr">
        <is>
          <t>일부</t>
        </is>
      </c>
      <c r="M10" s="16" t="inlineStr">
        <is>
          <t>일부</t>
        </is>
      </c>
      <c r="N10" s="16" t="inlineStr">
        <is>
          <t>일부</t>
        </is>
      </c>
      <c r="O10" s="16" t="inlineStr">
        <is>
          <t>일부</t>
        </is>
      </c>
      <c r="P10" s="4" t="inlineStr">
        <is>
          <t>습관형성</t>
        </is>
      </c>
      <c r="Q10" s="4" t="n"/>
      <c r="R10" s="18" t="n"/>
    </row>
    <row r="11">
      <c r="A11" s="4" t="inlineStr">
        <is>
          <t>10408</t>
        </is>
      </c>
      <c r="B11" s="4" t="inlineStr">
        <is>
          <t>김하준</t>
        </is>
      </c>
      <c r="C11" s="20" t="inlineStr">
        <is>
          <t>미작성</t>
        </is>
      </c>
      <c r="D11" s="16" t="inlineStr">
        <is>
          <t>일부</t>
        </is>
      </c>
      <c r="E11" s="20" t="inlineStr">
        <is>
          <t>미작성</t>
        </is>
      </c>
      <c r="F11" s="16" t="inlineStr">
        <is>
          <t>일부</t>
        </is>
      </c>
      <c r="G11" s="16" t="inlineStr">
        <is>
          <t>일부</t>
        </is>
      </c>
      <c r="H11" s="16" t="inlineStr">
        <is>
          <t>일부</t>
        </is>
      </c>
      <c r="I11" s="16" t="inlineStr">
        <is>
          <t>일부</t>
        </is>
      </c>
      <c r="J11" s="16" t="inlineStr">
        <is>
          <t>일부</t>
        </is>
      </c>
      <c r="K11" s="20" t="inlineStr">
        <is>
          <t>미작성</t>
        </is>
      </c>
      <c r="L11" s="20" t="inlineStr">
        <is>
          <t>미작성</t>
        </is>
      </c>
      <c r="M11" s="16" t="inlineStr">
        <is>
          <t>일부</t>
        </is>
      </c>
      <c r="N11" s="16" t="inlineStr">
        <is>
          <t>일부</t>
        </is>
      </c>
      <c r="O11" s="16" t="inlineStr">
        <is>
          <t>일부</t>
        </is>
      </c>
      <c r="P11" s="4" t="inlineStr">
        <is>
          <t>습관형성</t>
        </is>
      </c>
      <c r="Q11" s="4" t="n"/>
      <c r="R11" s="18" t="inlineStr">
        <is>
          <t>p-1 이유를 안내문 그대로 옮겨 씀, p-2 대부분 지움 / p-3 요일마다 다른 습관 기록(목표 미기재)</t>
        </is>
      </c>
    </row>
    <row r="12">
      <c r="A12" s="4" t="inlineStr">
        <is>
          <t>10409</t>
        </is>
      </c>
      <c r="B12" s="4" t="inlineStr">
        <is>
          <t>김효신</t>
        </is>
      </c>
      <c r="C12" s="16" t="inlineStr">
        <is>
          <t>일부</t>
        </is>
      </c>
      <c r="D12" s="16" t="inlineStr">
        <is>
          <t>일부</t>
        </is>
      </c>
      <c r="E12" s="19" t="inlineStr">
        <is>
          <t>-</t>
        </is>
      </c>
      <c r="F12" s="16" t="inlineStr">
        <is>
          <t>일부</t>
        </is>
      </c>
      <c r="G12" s="16" t="inlineStr">
        <is>
          <t>일부</t>
        </is>
      </c>
      <c r="H12" s="16" t="inlineStr">
        <is>
          <t>일부</t>
        </is>
      </c>
      <c r="I12" s="16" t="inlineStr">
        <is>
          <t>일부</t>
        </is>
      </c>
      <c r="J12" s="16" t="inlineStr">
        <is>
          <t>일부</t>
        </is>
      </c>
      <c r="K12" s="20" t="inlineStr">
        <is>
          <t>미작성</t>
        </is>
      </c>
      <c r="L12" s="16" t="inlineStr">
        <is>
          <t>일부</t>
        </is>
      </c>
      <c r="M12" s="17" t="inlineStr">
        <is>
          <t>완료</t>
        </is>
      </c>
      <c r="N12" s="17" t="inlineStr">
        <is>
          <t>완료</t>
        </is>
      </c>
      <c r="O12" s="17" t="inlineStr">
        <is>
          <t>완료</t>
        </is>
      </c>
      <c r="P12" s="4" t="inlineStr">
        <is>
          <t>주제탐구</t>
        </is>
      </c>
      <c r="Q12" s="4" t="n"/>
      <c r="R12" s="18" t="inlineStr">
        <is>
          <t>p-3 김다경과 공동 작성</t>
        </is>
      </c>
    </row>
    <row r="13">
      <c r="A13" s="4" t="inlineStr">
        <is>
          <t>10410</t>
        </is>
      </c>
      <c r="B13" s="4" t="inlineStr">
        <is>
          <t>마시후</t>
        </is>
      </c>
      <c r="C13" s="16" t="inlineStr">
        <is>
          <t>일부</t>
        </is>
      </c>
      <c r="D13" s="16" t="inlineStr">
        <is>
          <t>일부</t>
        </is>
      </c>
      <c r="E13" s="20" t="inlineStr">
        <is>
          <t>미작성</t>
        </is>
      </c>
      <c r="F13" s="16" t="inlineStr">
        <is>
          <t>일부</t>
        </is>
      </c>
      <c r="G13" s="16" t="inlineStr">
        <is>
          <t>일부</t>
        </is>
      </c>
      <c r="H13" s="16" t="inlineStr">
        <is>
          <t>일부</t>
        </is>
      </c>
      <c r="I13" s="16" t="inlineStr">
        <is>
          <t>일부</t>
        </is>
      </c>
      <c r="J13" s="16" t="inlineStr">
        <is>
          <t>일부</t>
        </is>
      </c>
      <c r="K13" s="16" t="inlineStr">
        <is>
          <t>일부</t>
        </is>
      </c>
      <c r="L13" s="16" t="inlineStr">
        <is>
          <t>일부</t>
        </is>
      </c>
      <c r="M13" s="16" t="inlineStr">
        <is>
          <t>일부</t>
        </is>
      </c>
      <c r="N13" s="17" t="inlineStr">
        <is>
          <t>완료</t>
        </is>
      </c>
      <c r="O13" s="17" t="inlineStr">
        <is>
          <t>완료</t>
        </is>
      </c>
      <c r="P13" s="4" t="inlineStr">
        <is>
          <t>주제탐구</t>
        </is>
      </c>
      <c r="Q13" s="4" t="n"/>
      <c r="R13" s="18" t="n"/>
    </row>
    <row r="14">
      <c r="A14" s="4" t="inlineStr">
        <is>
          <t>10411</t>
        </is>
      </c>
      <c r="B14" s="4" t="inlineStr">
        <is>
          <t>신소연</t>
        </is>
      </c>
      <c r="C14" s="16" t="inlineStr">
        <is>
          <t>일부</t>
        </is>
      </c>
      <c r="D14" s="17" t="inlineStr">
        <is>
          <t>완료</t>
        </is>
      </c>
      <c r="E14" s="20" t="inlineStr">
        <is>
          <t>미작성</t>
        </is>
      </c>
      <c r="F14" s="17" t="inlineStr">
        <is>
          <t>완료</t>
        </is>
      </c>
      <c r="G14" s="16" t="inlineStr">
        <is>
          <t>일부</t>
        </is>
      </c>
      <c r="H14" s="16" t="inlineStr">
        <is>
          <t>일부</t>
        </is>
      </c>
      <c r="I14" s="16" t="inlineStr">
        <is>
          <t>일부</t>
        </is>
      </c>
      <c r="J14" s="16" t="inlineStr">
        <is>
          <t>일부</t>
        </is>
      </c>
      <c r="K14" s="20" t="inlineStr">
        <is>
          <t>미작성</t>
        </is>
      </c>
      <c r="L14" s="16" t="inlineStr">
        <is>
          <t>일부</t>
        </is>
      </c>
      <c r="M14" s="16" t="inlineStr">
        <is>
          <t>일부</t>
        </is>
      </c>
      <c r="N14" s="17" t="inlineStr">
        <is>
          <t>완료</t>
        </is>
      </c>
      <c r="O14" s="17" t="inlineStr">
        <is>
          <t>일부</t>
        </is>
      </c>
      <c r="P14" s="4" t="inlineStr">
        <is>
          <t>습관형성→주제탐구</t>
        </is>
      </c>
      <c r="Q14" s="4" t="n"/>
      <c r="R14" s="18" t="inlineStr">
        <is>
          <t>트랙 변경(습관→주제), 주제도 수학교사→배터리로 변경. 확인 필요</t>
        </is>
      </c>
    </row>
    <row r="15">
      <c r="A15" s="4" t="inlineStr">
        <is>
          <t>10412</t>
        </is>
      </c>
      <c r="B15" s="4" t="inlineStr">
        <is>
          <t>엄시호</t>
        </is>
      </c>
      <c r="C15" s="16" t="inlineStr">
        <is>
          <t>일부</t>
        </is>
      </c>
      <c r="D15" s="16" t="inlineStr">
        <is>
          <t>일부</t>
        </is>
      </c>
      <c r="E15" s="19" t="inlineStr">
        <is>
          <t>-</t>
        </is>
      </c>
      <c r="F15" s="17" t="inlineStr">
        <is>
          <t>완료</t>
        </is>
      </c>
      <c r="G15" s="16" t="inlineStr">
        <is>
          <t>일부</t>
        </is>
      </c>
      <c r="H15" s="16" t="inlineStr">
        <is>
          <t>일부</t>
        </is>
      </c>
      <c r="I15" s="16" t="inlineStr">
        <is>
          <t>일부</t>
        </is>
      </c>
      <c r="J15" s="16" t="inlineStr">
        <is>
          <t>일부</t>
        </is>
      </c>
      <c r="K15" s="16" t="inlineStr">
        <is>
          <t>일부</t>
        </is>
      </c>
      <c r="L15" s="20" t="inlineStr">
        <is>
          <t>미작성</t>
        </is>
      </c>
      <c r="M15" s="16" t="inlineStr">
        <is>
          <t>일부</t>
        </is>
      </c>
      <c r="N15" s="17" t="inlineStr">
        <is>
          <t>완료</t>
        </is>
      </c>
      <c r="O15" s="17" t="inlineStr">
        <is>
          <t>완료</t>
        </is>
      </c>
      <c r="P15" s="4" t="inlineStr">
        <is>
          <t>주제탐구</t>
        </is>
      </c>
      <c r="Q15" s="4" t="n"/>
      <c r="R15" s="18" t="n"/>
    </row>
    <row r="16">
      <c r="A16" s="4" t="inlineStr">
        <is>
          <t>10413</t>
        </is>
      </c>
      <c r="B16" s="4" t="inlineStr">
        <is>
          <t>유영하</t>
        </is>
      </c>
      <c r="C16" s="16" t="inlineStr">
        <is>
          <t>일부</t>
        </is>
      </c>
      <c r="D16" s="16" t="inlineStr">
        <is>
          <t>일부</t>
        </is>
      </c>
      <c r="E16" s="20" t="inlineStr">
        <is>
          <t>미작성</t>
        </is>
      </c>
      <c r="F16" s="17" t="inlineStr">
        <is>
          <t>완료</t>
        </is>
      </c>
      <c r="G16" s="17" t="inlineStr">
        <is>
          <t>완료</t>
        </is>
      </c>
      <c r="H16" s="16" t="inlineStr">
        <is>
          <t>일부</t>
        </is>
      </c>
      <c r="I16" s="16" t="inlineStr">
        <is>
          <t>일부</t>
        </is>
      </c>
      <c r="J16" s="16" t="inlineStr">
        <is>
          <t>일부</t>
        </is>
      </c>
      <c r="K16" s="16" t="inlineStr">
        <is>
          <t>일부</t>
        </is>
      </c>
      <c r="L16" s="17" t="inlineStr">
        <is>
          <t>완료</t>
        </is>
      </c>
      <c r="M16" s="16" t="inlineStr">
        <is>
          <t>일부</t>
        </is>
      </c>
      <c r="N16" s="16" t="inlineStr">
        <is>
          <t>일부</t>
        </is>
      </c>
      <c r="O16" s="16" t="inlineStr">
        <is>
          <t>-</t>
        </is>
      </c>
      <c r="P16" s="4" t="inlineStr">
        <is>
          <t>진로독서→습관형성</t>
        </is>
      </c>
      <c r="Q16" s="4" t="n"/>
      <c r="R16" s="18" t="inlineStr">
        <is>
          <t>트랙 변경(독서→습관), 짝 진영원 / p-3 활동지 없음(확인 필요)</t>
        </is>
      </c>
    </row>
    <row r="17">
      <c r="A17" s="4" t="inlineStr">
        <is>
          <t>10414</t>
        </is>
      </c>
      <c r="B17" s="4" t="inlineStr">
        <is>
          <t>이현지</t>
        </is>
      </c>
      <c r="C17" s="16" t="inlineStr">
        <is>
          <t>일부</t>
        </is>
      </c>
      <c r="D17" s="16" t="inlineStr">
        <is>
          <t>일부</t>
        </is>
      </c>
      <c r="E17" s="20" t="inlineStr">
        <is>
          <t>미작성</t>
        </is>
      </c>
      <c r="F17" s="16" t="inlineStr">
        <is>
          <t>일부</t>
        </is>
      </c>
      <c r="G17" s="16" t="inlineStr">
        <is>
          <t>일부</t>
        </is>
      </c>
      <c r="H17" s="16" t="inlineStr">
        <is>
          <t>일부</t>
        </is>
      </c>
      <c r="I17" s="16" t="inlineStr">
        <is>
          <t>일부</t>
        </is>
      </c>
      <c r="J17" s="16" t="inlineStr">
        <is>
          <t>일부</t>
        </is>
      </c>
      <c r="K17" s="16" t="inlineStr">
        <is>
          <t>일부</t>
        </is>
      </c>
      <c r="L17" s="16" t="inlineStr">
        <is>
          <t>일부</t>
        </is>
      </c>
      <c r="M17" s="16" t="inlineStr">
        <is>
          <t>일부</t>
        </is>
      </c>
      <c r="N17" s="17" t="inlineStr">
        <is>
          <t>완료</t>
        </is>
      </c>
      <c r="O17" s="17" t="inlineStr">
        <is>
          <t>일부</t>
        </is>
      </c>
      <c r="P17" s="4" t="inlineStr">
        <is>
          <t>주제탐구</t>
        </is>
      </c>
      <c r="Q17" s="4" t="n"/>
      <c r="R17" s="18" t="n"/>
    </row>
    <row r="18">
      <c r="A18" s="4" t="inlineStr">
        <is>
          <t>10415</t>
        </is>
      </c>
      <c r="B18" s="4" t="inlineStr">
        <is>
          <t>장하윤</t>
        </is>
      </c>
      <c r="C18" s="17" t="inlineStr">
        <is>
          <t>완료</t>
        </is>
      </c>
      <c r="D18" s="16" t="inlineStr">
        <is>
          <t>일부</t>
        </is>
      </c>
      <c r="E18" s="19" t="inlineStr">
        <is>
          <t>-</t>
        </is>
      </c>
      <c r="F18" s="17" t="inlineStr">
        <is>
          <t>완료</t>
        </is>
      </c>
      <c r="G18" s="16" t="inlineStr">
        <is>
          <t>일부</t>
        </is>
      </c>
      <c r="H18" s="16" t="inlineStr">
        <is>
          <t>일부</t>
        </is>
      </c>
      <c r="I18" s="16" t="inlineStr">
        <is>
          <t>일부</t>
        </is>
      </c>
      <c r="J18" s="16" t="inlineStr">
        <is>
          <t>일부</t>
        </is>
      </c>
      <c r="K18" s="20" t="inlineStr">
        <is>
          <t>미작성</t>
        </is>
      </c>
      <c r="L18" s="16" t="inlineStr">
        <is>
          <t>일부</t>
        </is>
      </c>
      <c r="M18" s="16" t="inlineStr">
        <is>
          <t>일부</t>
        </is>
      </c>
      <c r="N18" s="16" t="inlineStr">
        <is>
          <t>일부</t>
        </is>
      </c>
      <c r="O18" s="16" t="inlineStr">
        <is>
          <t>일부</t>
        </is>
      </c>
      <c r="P18" s="4" t="inlineStr">
        <is>
          <t>주제탐구</t>
        </is>
      </c>
      <c r="Q18" s="4" t="n"/>
      <c r="R18" s="18" t="inlineStr">
        <is>
          <t>p-3 최맑음과 활동지 내용 동일</t>
        </is>
      </c>
    </row>
    <row r="19">
      <c r="A19" s="4" t="inlineStr">
        <is>
          <t>10416</t>
        </is>
      </c>
      <c r="B19" s="4" t="inlineStr">
        <is>
          <t>조수아</t>
        </is>
      </c>
      <c r="C19" s="16" t="inlineStr">
        <is>
          <t>일부</t>
        </is>
      </c>
      <c r="D19" s="16" t="inlineStr">
        <is>
          <t>일부</t>
        </is>
      </c>
      <c r="E19" s="20" t="inlineStr">
        <is>
          <t>미작성</t>
        </is>
      </c>
      <c r="F19" s="17" t="inlineStr">
        <is>
          <t>완료</t>
        </is>
      </c>
      <c r="G19" s="16" t="inlineStr">
        <is>
          <t>일부</t>
        </is>
      </c>
      <c r="H19" s="16" t="inlineStr">
        <is>
          <t>일부</t>
        </is>
      </c>
      <c r="I19" s="16" t="inlineStr">
        <is>
          <t>일부</t>
        </is>
      </c>
      <c r="J19" s="16" t="inlineStr">
        <is>
          <t>일부</t>
        </is>
      </c>
      <c r="K19" s="16" t="inlineStr">
        <is>
          <t>일부</t>
        </is>
      </c>
      <c r="L19" s="16" t="inlineStr">
        <is>
          <t>일부</t>
        </is>
      </c>
      <c r="M19" s="16" t="inlineStr">
        <is>
          <t>일부</t>
        </is>
      </c>
      <c r="N19" s="17" t="inlineStr">
        <is>
          <t>완료</t>
        </is>
      </c>
      <c r="O19" s="17" t="inlineStr">
        <is>
          <t>완료</t>
        </is>
      </c>
      <c r="P19" s="4" t="inlineStr">
        <is>
          <t>주제탐구</t>
        </is>
      </c>
      <c r="Q19" s="4" t="n"/>
      <c r="R19" s="18" t="n"/>
    </row>
    <row r="20">
      <c r="A20" s="4" t="inlineStr">
        <is>
          <t>10417</t>
        </is>
      </c>
      <c r="B20" s="4" t="inlineStr">
        <is>
          <t>주하랑</t>
        </is>
      </c>
      <c r="C20" s="16" t="inlineStr">
        <is>
          <t>일부</t>
        </is>
      </c>
      <c r="D20" s="16" t="inlineStr">
        <is>
          <t>일부</t>
        </is>
      </c>
      <c r="E20" s="20" t="inlineStr">
        <is>
          <t>미작성</t>
        </is>
      </c>
      <c r="F20" s="17" t="inlineStr">
        <is>
          <t>완료</t>
        </is>
      </c>
      <c r="G20" s="16" t="inlineStr">
        <is>
          <t>일부</t>
        </is>
      </c>
      <c r="H20" s="16" t="inlineStr">
        <is>
          <t>일부</t>
        </is>
      </c>
      <c r="I20" s="16" t="inlineStr">
        <is>
          <t>일부</t>
        </is>
      </c>
      <c r="J20" s="16" t="inlineStr">
        <is>
          <t>일부</t>
        </is>
      </c>
      <c r="K20" s="16" t="inlineStr">
        <is>
          <t>일부</t>
        </is>
      </c>
      <c r="L20" s="17" t="inlineStr">
        <is>
          <t>완료</t>
        </is>
      </c>
      <c r="M20" s="16" t="inlineStr">
        <is>
          <t>일부</t>
        </is>
      </c>
      <c r="N20" s="16" t="inlineStr">
        <is>
          <t>일부</t>
        </is>
      </c>
      <c r="O20" s="16" t="inlineStr">
        <is>
          <t>완료</t>
        </is>
      </c>
      <c r="P20" s="4" t="inlineStr">
        <is>
          <t>주제탐구</t>
        </is>
      </c>
      <c r="Q20" s="4" t="n"/>
      <c r="R20" s="18" t="n"/>
    </row>
    <row r="21">
      <c r="A21" s="4" t="inlineStr">
        <is>
          <t>10418</t>
        </is>
      </c>
      <c r="B21" s="4" t="inlineStr">
        <is>
          <t>진영원</t>
        </is>
      </c>
      <c r="C21" s="16" t="inlineStr">
        <is>
          <t>일부</t>
        </is>
      </c>
      <c r="D21" s="16" t="inlineStr">
        <is>
          <t>일부</t>
        </is>
      </c>
      <c r="E21" s="20" t="inlineStr">
        <is>
          <t>미작성</t>
        </is>
      </c>
      <c r="F21" s="16" t="inlineStr">
        <is>
          <t>일부</t>
        </is>
      </c>
      <c r="G21" s="16" t="inlineStr">
        <is>
          <t>일부</t>
        </is>
      </c>
      <c r="H21" s="16" t="inlineStr">
        <is>
          <t>일부</t>
        </is>
      </c>
      <c r="I21" s="16" t="inlineStr">
        <is>
          <t>일부</t>
        </is>
      </c>
      <c r="J21" s="16" t="inlineStr">
        <is>
          <t>일부</t>
        </is>
      </c>
      <c r="K21" s="16" t="inlineStr">
        <is>
          <t>일부</t>
        </is>
      </c>
      <c r="L21" s="17" t="inlineStr">
        <is>
          <t>완료</t>
        </is>
      </c>
      <c r="M21" s="16" t="inlineStr">
        <is>
          <t>일부</t>
        </is>
      </c>
      <c r="N21" s="16" t="inlineStr">
        <is>
          <t>일부</t>
        </is>
      </c>
      <c r="O21" s="16" t="inlineStr">
        <is>
          <t>완료</t>
        </is>
      </c>
      <c r="P21" s="4" t="inlineStr">
        <is>
          <t>(불일치)→습관형성</t>
        </is>
      </c>
      <c r="Q21" s="4" t="n"/>
      <c r="R21" s="18" t="inlineStr">
        <is>
          <t>1차시 체크(습관)와 이유(독서) 불일치 → 2차시 습관형성</t>
        </is>
      </c>
    </row>
    <row r="22">
      <c r="A22" s="4" t="inlineStr">
        <is>
          <t>10419</t>
        </is>
      </c>
      <c r="B22" s="4" t="inlineStr">
        <is>
          <t>최맑음</t>
        </is>
      </c>
      <c r="C22" s="16" t="inlineStr">
        <is>
          <t>일부</t>
        </is>
      </c>
      <c r="D22" s="16" t="inlineStr">
        <is>
          <t>일부</t>
        </is>
      </c>
      <c r="E22" s="19" t="inlineStr">
        <is>
          <t>-</t>
        </is>
      </c>
      <c r="F22" s="17" t="inlineStr">
        <is>
          <t>완료</t>
        </is>
      </c>
      <c r="G22" s="16" t="inlineStr">
        <is>
          <t>일부</t>
        </is>
      </c>
      <c r="H22" s="20" t="inlineStr">
        <is>
          <t>미작성</t>
        </is>
      </c>
      <c r="I22" s="16" t="inlineStr">
        <is>
          <t>일부</t>
        </is>
      </c>
      <c r="J22" s="16" t="inlineStr">
        <is>
          <t>일부</t>
        </is>
      </c>
      <c r="K22" s="20" t="inlineStr">
        <is>
          <t>미작성</t>
        </is>
      </c>
      <c r="L22" s="16" t="inlineStr">
        <is>
          <t>일부</t>
        </is>
      </c>
      <c r="M22" s="16" t="inlineStr">
        <is>
          <t>일부</t>
        </is>
      </c>
      <c r="N22" s="16" t="inlineStr">
        <is>
          <t>일부</t>
        </is>
      </c>
      <c r="O22" s="16" t="inlineStr">
        <is>
          <t>일부</t>
        </is>
      </c>
      <c r="P22" s="4" t="inlineStr">
        <is>
          <t>습관형성→주제탐구</t>
        </is>
      </c>
      <c r="Q22" s="4" t="n"/>
      <c r="R22" s="18" t="inlineStr">
        <is>
          <t>트랙 변경(습관→주제), 짝 장하윤과 공동 주제 / p-3 장하윤과 활동지 내용 동일</t>
        </is>
      </c>
    </row>
    <row r="23">
      <c r="A23" s="4" t="inlineStr">
        <is>
          <t>10420</t>
        </is>
      </c>
      <c r="B23" s="4" t="inlineStr">
        <is>
          <t>최송이</t>
        </is>
      </c>
      <c r="C23" s="16" t="inlineStr">
        <is>
          <t>일부</t>
        </is>
      </c>
      <c r="D23" s="19" t="inlineStr">
        <is>
          <t>-</t>
        </is>
      </c>
      <c r="E23" s="19" t="inlineStr">
        <is>
          <t>-</t>
        </is>
      </c>
      <c r="F23" s="19" t="inlineStr">
        <is>
          <t>-</t>
        </is>
      </c>
      <c r="G23" s="16" t="inlineStr">
        <is>
          <t>일부</t>
        </is>
      </c>
      <c r="H23" s="16" t="inlineStr">
        <is>
          <t>일부</t>
        </is>
      </c>
      <c r="I23" s="16" t="inlineStr">
        <is>
          <t>일부</t>
        </is>
      </c>
      <c r="J23" s="16" t="inlineStr">
        <is>
          <t>일부</t>
        </is>
      </c>
      <c r="K23" s="17" t="inlineStr">
        <is>
          <t>완료</t>
        </is>
      </c>
      <c r="L23" s="17" t="inlineStr">
        <is>
          <t>완료</t>
        </is>
      </c>
      <c r="M23" s="17" t="inlineStr">
        <is>
          <t>완료</t>
        </is>
      </c>
      <c r="N23" s="17" t="inlineStr">
        <is>
          <t>완료</t>
        </is>
      </c>
      <c r="O23" s="17" t="inlineStr">
        <is>
          <t>완료</t>
        </is>
      </c>
      <c r="P23" s="4" t="inlineStr">
        <is>
          <t>주제탐구</t>
        </is>
      </c>
      <c r="Q23" s="4" t="n"/>
      <c r="R23" s="18" t="n"/>
    </row>
    <row r="24">
      <c r="A24" s="4" t="inlineStr">
        <is>
          <t>10421</t>
        </is>
      </c>
      <c r="B24" s="4" t="inlineStr">
        <is>
          <t>최준서</t>
        </is>
      </c>
      <c r="C24" s="16" t="inlineStr">
        <is>
          <t>일부</t>
        </is>
      </c>
      <c r="D24" s="16" t="inlineStr">
        <is>
          <t>일부</t>
        </is>
      </c>
      <c r="E24" s="20" t="inlineStr">
        <is>
          <t>미작성</t>
        </is>
      </c>
      <c r="F24" s="17" t="inlineStr">
        <is>
          <t>완료</t>
        </is>
      </c>
      <c r="G24" s="17" t="inlineStr">
        <is>
          <t>완료</t>
        </is>
      </c>
      <c r="H24" s="16" t="inlineStr">
        <is>
          <t>일부</t>
        </is>
      </c>
      <c r="I24" s="16" t="inlineStr">
        <is>
          <t>일부</t>
        </is>
      </c>
      <c r="J24" s="16" t="inlineStr">
        <is>
          <t>일부</t>
        </is>
      </c>
      <c r="K24" s="16" t="inlineStr">
        <is>
          <t>일부</t>
        </is>
      </c>
      <c r="L24" s="16" t="inlineStr">
        <is>
          <t>일부</t>
        </is>
      </c>
      <c r="M24" s="17" t="inlineStr">
        <is>
          <t>완료</t>
        </is>
      </c>
      <c r="N24" s="17" t="inlineStr">
        <is>
          <t>완료</t>
        </is>
      </c>
      <c r="O24" s="17" t="inlineStr">
        <is>
          <t>일부</t>
        </is>
      </c>
      <c r="P24" s="4" t="inlineStr">
        <is>
          <t>주제탐구</t>
        </is>
      </c>
      <c r="Q24" s="4" t="n"/>
      <c r="R24" s="18" t="n"/>
    </row>
    <row r="25">
      <c r="A25" s="4" t="inlineStr">
        <is>
          <t>10422</t>
        </is>
      </c>
      <c r="B25" s="4" t="inlineStr">
        <is>
          <t>최환</t>
        </is>
      </c>
      <c r="C25" s="16" t="inlineStr">
        <is>
          <t>일부</t>
        </is>
      </c>
      <c r="D25" s="16" t="inlineStr">
        <is>
          <t>일부</t>
        </is>
      </c>
      <c r="E25" s="19" t="inlineStr">
        <is>
          <t>-</t>
        </is>
      </c>
      <c r="F25" s="17" t="inlineStr">
        <is>
          <t>완료</t>
        </is>
      </c>
      <c r="G25" s="16" t="inlineStr">
        <is>
          <t>일부</t>
        </is>
      </c>
      <c r="H25" s="16" t="inlineStr">
        <is>
          <t>일부</t>
        </is>
      </c>
      <c r="I25" s="16" t="inlineStr">
        <is>
          <t>일부</t>
        </is>
      </c>
      <c r="J25" s="16" t="inlineStr">
        <is>
          <t>일부</t>
        </is>
      </c>
      <c r="K25" s="20" t="inlineStr">
        <is>
          <t>미작성</t>
        </is>
      </c>
      <c r="L25" s="16" t="inlineStr">
        <is>
          <t>일부</t>
        </is>
      </c>
      <c r="M25" s="17" t="inlineStr">
        <is>
          <t>완료</t>
        </is>
      </c>
      <c r="N25" s="17" t="inlineStr">
        <is>
          <t>완료</t>
        </is>
      </c>
      <c r="O25" s="17" t="inlineStr">
        <is>
          <t>완료</t>
        </is>
      </c>
      <c r="P25" s="4" t="inlineStr">
        <is>
          <t>습관형성</t>
        </is>
      </c>
      <c r="Q25" s="4" t="n"/>
      <c r="R25" s="18" t="n"/>
    </row>
    <row r="26">
      <c r="A26" s="4" t="inlineStr">
        <is>
          <t>10423</t>
        </is>
      </c>
      <c r="B26" s="4" t="inlineStr">
        <is>
          <t>황현준</t>
        </is>
      </c>
      <c r="C26" s="16" t="inlineStr">
        <is>
          <t>일부</t>
        </is>
      </c>
      <c r="D26" s="16" t="inlineStr">
        <is>
          <t>일부</t>
        </is>
      </c>
      <c r="E26" s="20" t="inlineStr">
        <is>
          <t>미작성</t>
        </is>
      </c>
      <c r="F26" s="16" t="inlineStr">
        <is>
          <t>일부</t>
        </is>
      </c>
      <c r="G26" s="16" t="inlineStr">
        <is>
          <t>일부</t>
        </is>
      </c>
      <c r="H26" s="16" t="inlineStr">
        <is>
          <t>일부</t>
        </is>
      </c>
      <c r="I26" s="16" t="inlineStr">
        <is>
          <t>일부</t>
        </is>
      </c>
      <c r="J26" s="16" t="inlineStr">
        <is>
          <t>일부</t>
        </is>
      </c>
      <c r="K26" s="16" t="inlineStr">
        <is>
          <t>일부</t>
        </is>
      </c>
      <c r="L26" s="16" t="inlineStr">
        <is>
          <t>일부</t>
        </is>
      </c>
      <c r="M26" s="16" t="inlineStr">
        <is>
          <t>일부</t>
        </is>
      </c>
      <c r="N26" s="17" t="inlineStr">
        <is>
          <t>완료</t>
        </is>
      </c>
      <c r="O26" s="17" t="inlineStr">
        <is>
          <t>완료</t>
        </is>
      </c>
      <c r="P26" s="4" t="inlineStr">
        <is>
          <t>주제탐구</t>
        </is>
      </c>
      <c r="Q26" s="4" t="n"/>
      <c r="R26" s="18" t="n"/>
    </row>
    <row r="27">
      <c r="A27" s="4" t="inlineStr">
        <is>
          <t>10424</t>
        </is>
      </c>
      <c r="B27" s="4" t="inlineStr">
        <is>
          <t>김다경</t>
        </is>
      </c>
      <c r="C27" s="19" t="inlineStr">
        <is>
          <t>-</t>
        </is>
      </c>
      <c r="D27" s="19" t="inlineStr">
        <is>
          <t>-</t>
        </is>
      </c>
      <c r="E27" s="19" t="inlineStr">
        <is>
          <t>-</t>
        </is>
      </c>
      <c r="F27" s="19" t="inlineStr">
        <is>
          <t>-</t>
        </is>
      </c>
      <c r="G27" s="19" t="inlineStr">
        <is>
          <t>-</t>
        </is>
      </c>
      <c r="H27" s="19" t="inlineStr">
        <is>
          <t>-</t>
        </is>
      </c>
      <c r="I27" s="19" t="inlineStr">
        <is>
          <t>-</t>
        </is>
      </c>
      <c r="J27" s="19" t="inlineStr">
        <is>
          <t>-</t>
        </is>
      </c>
      <c r="K27" s="19" t="inlineStr">
        <is>
          <t>-</t>
        </is>
      </c>
      <c r="L27" s="16" t="inlineStr">
        <is>
          <t>일부</t>
        </is>
      </c>
      <c r="M27" s="17" t="inlineStr">
        <is>
          <t>완료</t>
        </is>
      </c>
      <c r="N27" s="17" t="inlineStr">
        <is>
          <t>완료</t>
        </is>
      </c>
      <c r="O27" s="17" t="inlineStr">
        <is>
          <t>완료</t>
        </is>
      </c>
      <c r="P27" s="4" t="inlineStr">
        <is>
          <t>주제탐구</t>
        </is>
      </c>
      <c r="Q27" s="4" t="inlineStr">
        <is>
          <t>확인됨</t>
        </is>
      </c>
      <c r="R27" s="18" t="inlineStr">
        <is>
          <t>p-3 김효신과 공동 작성</t>
        </is>
      </c>
    </row>
    <row r="28"/>
    <row r="29">
      <c r="A29" s="10" t="inlineStr">
        <is>
          <t>차시별 활동 개요</t>
        </is>
      </c>
    </row>
    <row r="30">
      <c r="A30" s="21" t="inlineStr">
        <is>
          <t>차시</t>
        </is>
      </c>
      <c r="B30" s="21" t="inlineStr">
        <is>
          <t>활동명</t>
        </is>
      </c>
      <c r="C30" s="22" t="n"/>
      <c r="D30" s="21" t="inlineStr">
        <is>
          <t>학습목표/개요</t>
        </is>
      </c>
      <c r="E30" s="23" t="n"/>
      <c r="F30" s="23" t="n"/>
      <c r="G30" s="23" t="n"/>
      <c r="H30" s="23" t="n"/>
      <c r="I30" s="23" t="n"/>
      <c r="J30" s="23" t="n"/>
      <c r="K30" s="23" t="n"/>
      <c r="L30" s="23" t="n"/>
      <c r="M30" s="23" t="n"/>
      <c r="N30" s="23" t="n"/>
      <c r="O30" s="23" t="n"/>
      <c r="P30" s="23" t="n"/>
      <c r="Q30" s="23" t="n"/>
      <c r="R30" s="22" t="n"/>
    </row>
    <row r="31" ht="32" customHeight="1">
      <c r="A31" s="4" t="inlineStr">
        <is>
          <t>1-1</t>
        </is>
      </c>
      <c r="B31" s="18" t="inlineStr">
        <is>
          <t>진로수업 OT</t>
        </is>
      </c>
      <c r="C31" s="22" t="n"/>
      <c r="D31" s="18" t="inlineStr">
        <is>
          <t>자기소개(진진가 퀴즈), 1학기 진로활동 안내, 진로탐색·의사결정 능력 질문지, 진로수업 약속 및 다짐</t>
        </is>
      </c>
      <c r="E31" s="23" t="n"/>
      <c r="F31" s="23" t="n"/>
      <c r="G31" s="23" t="n"/>
      <c r="H31" s="23" t="n"/>
      <c r="I31" s="23" t="n"/>
      <c r="J31" s="23" t="n"/>
      <c r="K31" s="23" t="n"/>
      <c r="L31" s="23" t="n"/>
      <c r="M31" s="23" t="n"/>
      <c r="N31" s="23" t="n"/>
      <c r="O31" s="23" t="n"/>
      <c r="P31" s="23" t="n"/>
      <c r="Q31" s="23" t="n"/>
      <c r="R31" s="22" t="n"/>
    </row>
    <row r="32" ht="32" customHeight="1">
      <c r="A32" s="4" t="inlineStr">
        <is>
          <t>1-2</t>
        </is>
      </c>
      <c r="B32" s="18" t="inlineStr">
        <is>
          <t>나의 3년을 담는 기록장_학교생활기록부</t>
        </is>
      </c>
      <c r="C32" s="22" t="n"/>
      <c r="D32" s="18" t="inlineStr">
        <is>
          <t>학생부 항목 구조 이해, 영상 시청 빈칸 채우기(수시/정시, 5등급제, 고교학점제, 세특, 창체, 2028 수능 변화)</t>
        </is>
      </c>
      <c r="E32" s="23" t="n"/>
      <c r="F32" s="23" t="n"/>
      <c r="G32" s="23" t="n"/>
      <c r="H32" s="23" t="n"/>
      <c r="I32" s="23" t="n"/>
      <c r="J32" s="23" t="n"/>
      <c r="K32" s="23" t="n"/>
      <c r="L32" s="23" t="n"/>
      <c r="M32" s="23" t="n"/>
      <c r="N32" s="23" t="n"/>
      <c r="O32" s="23" t="n"/>
      <c r="P32" s="23" t="n"/>
      <c r="Q32" s="23" t="n"/>
      <c r="R32" s="22" t="n"/>
    </row>
    <row r="33" ht="32" customHeight="1">
      <c r="A33" s="4" t="inlineStr">
        <is>
          <t>1-3</t>
        </is>
      </c>
      <c r="B33" s="18" t="inlineStr">
        <is>
          <t>고등학교 내신 산출의 이해</t>
        </is>
      </c>
      <c r="C33" s="22" t="n"/>
      <c r="D33" s="18" t="inlineStr">
        <is>
          <t>중·고 성적 산출 차이, 5등급제 커트라인 계산(277명 기준), 1차 정기시험 목표 점수·학습계획 수립</t>
        </is>
      </c>
      <c r="E33" s="23" t="n"/>
      <c r="F33" s="23" t="n"/>
      <c r="G33" s="23" t="n"/>
      <c r="H33" s="23" t="n"/>
      <c r="I33" s="23" t="n"/>
      <c r="J33" s="23" t="n"/>
      <c r="K33" s="23" t="n"/>
      <c r="L33" s="23" t="n"/>
      <c r="M33" s="23" t="n"/>
      <c r="N33" s="23" t="n"/>
      <c r="O33" s="23" t="n"/>
      <c r="P33" s="23" t="n"/>
      <c r="Q33" s="23" t="n"/>
      <c r="R33" s="22" t="n"/>
    </row>
    <row r="34" ht="32" customHeight="1">
      <c r="A34" s="4" t="inlineStr">
        <is>
          <t>1-4</t>
        </is>
      </c>
      <c r="B34" s="18" t="inlineStr">
        <is>
          <t>자기 이해 검사 종합하기</t>
        </is>
      </c>
      <c r="C34" s="22" t="n"/>
      <c r="D34" s="18" t="inlineStr">
        <is>
          <t>POWER UP 강점진로검사(강점 3가지·핵심 강점 확장), MIT 전공 흥미 검사 결과 비교, 선호 직무 유형·직업 가치 정리</t>
        </is>
      </c>
      <c r="E34" s="23" t="n"/>
      <c r="F34" s="23" t="n"/>
      <c r="G34" s="23" t="n"/>
      <c r="H34" s="23" t="n"/>
      <c r="I34" s="23" t="n"/>
      <c r="J34" s="23" t="n"/>
      <c r="K34" s="23" t="n"/>
      <c r="L34" s="23" t="n"/>
      <c r="M34" s="23" t="n"/>
      <c r="N34" s="23" t="n"/>
      <c r="O34" s="23" t="n"/>
      <c r="P34" s="23" t="n"/>
      <c r="Q34" s="23" t="n"/>
      <c r="R34" s="22" t="n"/>
    </row>
    <row r="35" ht="32" customHeight="1">
      <c r="A35" s="4" t="inlineStr">
        <is>
          <t>1-5</t>
        </is>
      </c>
      <c r="B35" s="18" t="inlineStr">
        <is>
          <t>최고 관심 직업 선정하기</t>
        </is>
      </c>
      <c r="C35" s="22" t="n"/>
      <c r="D35" s="18" t="inlineStr">
        <is>
          <t>관심 직업 4개 정보 조사(하는 일·필요 능력·관련 학과) → 토너먼트로 최고 관심 직업 선정 → 미래 명함 만들기</t>
        </is>
      </c>
      <c r="E35" s="23" t="n"/>
      <c r="F35" s="23" t="n"/>
      <c r="G35" s="23" t="n"/>
      <c r="H35" s="23" t="n"/>
      <c r="I35" s="23" t="n"/>
      <c r="J35" s="23" t="n"/>
      <c r="K35" s="23" t="n"/>
      <c r="L35" s="23" t="n"/>
      <c r="M35" s="23" t="n"/>
      <c r="N35" s="23" t="n"/>
      <c r="O35" s="23" t="n"/>
      <c r="P35" s="23" t="n"/>
      <c r="Q35" s="23" t="n"/>
      <c r="R35" s="22" t="n"/>
    </row>
    <row r="36" ht="32" customHeight="1">
      <c r="A36" s="4" t="inlineStr">
        <is>
          <t>1-6</t>
        </is>
      </c>
      <c r="B36" s="18" t="inlineStr">
        <is>
          <t>미래 직업 세계와 AI: 내 직업은 어떻게 변할까?</t>
        </is>
      </c>
      <c r="C36" s="22" t="n"/>
      <c r="D36" s="18" t="inlineStr">
        <is>
          <t>AI 3단 분석(대체/협업/대체 불가), AI 시대 필요 역량 3가지, 미래 명함 업그레이드, 모둠 토론</t>
        </is>
      </c>
      <c r="E36" s="23" t="n"/>
      <c r="F36" s="23" t="n"/>
      <c r="G36" s="23" t="n"/>
      <c r="H36" s="23" t="n"/>
      <c r="I36" s="23" t="n"/>
      <c r="J36" s="23" t="n"/>
      <c r="K36" s="23" t="n"/>
      <c r="L36" s="23" t="n"/>
      <c r="M36" s="23" t="n"/>
      <c r="N36" s="23" t="n"/>
      <c r="O36" s="23" t="n"/>
      <c r="P36" s="23" t="n"/>
      <c r="Q36" s="23" t="n"/>
      <c r="R36" s="22" t="n"/>
    </row>
    <row r="37" ht="32" customHeight="1">
      <c r="A37" s="4" t="inlineStr">
        <is>
          <t>1-7</t>
        </is>
      </c>
      <c r="B37" s="18" t="inlineStr">
        <is>
          <t>희망 학과(전공) 탐색하기</t>
        </is>
      </c>
      <c r="C37" s="22" t="n"/>
      <c r="D37" s="18" t="inlineStr">
        <is>
          <t>커리어넷·고용24·학과바이블로 희망 학과 조사(학과 개요·연결 포인트·관련 과목·자격증·진출 분야·다짐)</t>
        </is>
      </c>
      <c r="E37" s="23" t="n"/>
      <c r="F37" s="23" t="n"/>
      <c r="G37" s="23" t="n"/>
      <c r="H37" s="23" t="n"/>
      <c r="I37" s="23" t="n"/>
      <c r="J37" s="23" t="n"/>
      <c r="K37" s="23" t="n"/>
      <c r="L37" s="23" t="n"/>
      <c r="M37" s="23" t="n"/>
      <c r="N37" s="23" t="n"/>
      <c r="O37" s="23" t="n"/>
      <c r="P37" s="23" t="n"/>
      <c r="Q37" s="23" t="n"/>
      <c r="R37" s="22" t="n"/>
    </row>
    <row r="38" ht="32" customHeight="1">
      <c r="A38" s="4" t="inlineStr">
        <is>
          <t>1-8</t>
        </is>
      </c>
      <c r="B38" s="18" t="inlineStr">
        <is>
          <t>나의 대학 진학 설계(대입 전형 유형별 분석)</t>
        </is>
      </c>
      <c r="C38" s="22" t="n"/>
      <c r="D38" s="18" t="inlineStr">
        <is>
          <t>사전 연습(동국대 수학과 전형 분석), 전형 유형별 나의 준비도 별점, 도전 대입 전형 설계</t>
        </is>
      </c>
      <c r="E38" s="23" t="n"/>
      <c r="F38" s="23" t="n"/>
      <c r="G38" s="23" t="n"/>
      <c r="H38" s="23" t="n"/>
      <c r="I38" s="23" t="n"/>
      <c r="J38" s="23" t="n"/>
      <c r="K38" s="23" t="n"/>
      <c r="L38" s="23" t="n"/>
      <c r="M38" s="23" t="n"/>
      <c r="N38" s="23" t="n"/>
      <c r="O38" s="23" t="n"/>
      <c r="P38" s="23" t="n"/>
      <c r="Q38" s="23" t="n"/>
      <c r="R38" s="22" t="n"/>
    </row>
    <row r="39" ht="32" customHeight="1">
      <c r="A39" s="4" t="inlineStr">
        <is>
          <t>최종</t>
        </is>
      </c>
      <c r="B39" s="18" t="inlineStr">
        <is>
          <t>1학기 진로수업 마무리 활동지</t>
        </is>
      </c>
      <c r="C39" s="22" t="n"/>
      <c r="D39" s="18" t="inlineStr">
        <is>
          <t>5·7·8차시 진로 기록 돌아보기, 최종 진로 목표, 2·3학년 과목 선택 설계, 대입 전형 연계, 2학기 다짐</t>
        </is>
      </c>
      <c r="E39" s="23" t="n"/>
      <c r="F39" s="23" t="n"/>
      <c r="G39" s="23" t="n"/>
      <c r="H39" s="23" t="n"/>
      <c r="I39" s="23" t="n"/>
      <c r="J39" s="23" t="n"/>
      <c r="K39" s="23" t="n"/>
      <c r="L39" s="23" t="n"/>
      <c r="M39" s="23" t="n"/>
      <c r="N39" s="23" t="n"/>
      <c r="O39" s="23" t="n"/>
      <c r="P39" s="23" t="n"/>
      <c r="Q39" s="23" t="n"/>
      <c r="R39" s="22" t="n"/>
    </row>
    <row r="40" ht="32" customHeight="1">
      <c r="A40" s="4" t="inlineStr">
        <is>
          <t>2-2</t>
        </is>
      </c>
      <c r="B40" s="18" t="inlineStr">
        <is>
          <t>나도 입학사정관</t>
        </is>
      </c>
      <c r="C40" s="22" t="n"/>
      <c r="D40" s="18" t="inlineStr">
        <is>
          <t>서울대 아로리 '나도 입학사정관' 합격 사례(2024·2025) 1건 선택 → 학업·진로·공동체 역량 렌즈로 A·B·C 학생 순위 평가 → 조별 토의 예상 순위와 실제 결과 비교 → 느낀 점·배운 점</t>
        </is>
      </c>
      <c r="E40" s="23" t="n"/>
      <c r="F40" s="23" t="n"/>
      <c r="G40" s="23" t="n"/>
      <c r="H40" s="23" t="n"/>
      <c r="I40" s="23" t="n"/>
      <c r="J40" s="23" t="n"/>
      <c r="K40" s="23" t="n"/>
      <c r="L40" s="23" t="n"/>
      <c r="M40" s="23" t="n"/>
      <c r="N40" s="23" t="n"/>
      <c r="O40" s="23" t="n"/>
      <c r="P40" s="23" t="n"/>
      <c r="Q40" s="23" t="n"/>
      <c r="R40" s="22" t="n"/>
    </row>
    <row r="41" ht="32" customHeight="1">
      <c r="A41" s="4" t="inlineStr">
        <is>
          <t>p-1</t>
        </is>
      </c>
      <c r="B41" s="18" t="inlineStr">
        <is>
          <t>개별 진로 프로젝트 1차시: 3종 트랙 탐색·선택 및 8차시 개인 계획서</t>
        </is>
      </c>
      <c r="C41" s="22" t="n"/>
      <c r="D41" s="18" t="inlineStr">
        <is>
          <t>3종 트랙(주제탐구·진로독서·습관형성) 특징 비교 → 나에게 맞는 트랙 1개 선택·선택 이유 → 트랙별 초기 아이디어 구상 → 나만의 8차시 세부 계획 수립 → 한 줄 다짐·계획 자가 점검</t>
        </is>
      </c>
      <c r="E41" s="23" t="n"/>
      <c r="F41" s="23" t="n"/>
      <c r="G41" s="23" t="n"/>
      <c r="H41" s="23" t="n"/>
      <c r="I41" s="23" t="n"/>
      <c r="J41" s="23" t="n"/>
      <c r="K41" s="23" t="n"/>
      <c r="L41" s="23" t="n"/>
      <c r="M41" s="23" t="n"/>
      <c r="N41" s="23" t="n"/>
      <c r="O41" s="23" t="n"/>
      <c r="P41" s="23" t="n"/>
      <c r="Q41" s="23" t="n"/>
      <c r="R41" s="22" t="n"/>
    </row>
    <row r="42" ht="48" customHeight="1">
      <c r="A42" s="4" t="inlineStr">
        <is>
          <t>p-2</t>
        </is>
      </c>
      <c r="B42" s="18" t="inlineStr">
        <is>
          <t>개별 진로 프로젝트 2차시(트랙별 활동지)</t>
        </is>
      </c>
      <c r="C42" s="22" t="n"/>
      <c r="D42" s="18" t="inlineStr">
        <is>
          <t>[주제탐구] 탐구 자료원(통계·뉴스·논문·기관 사이트) 안내 → 핵심 탐구 질문 1개와 이를 뒷받침할 하위 질문 3개 작성 → 활용할 자료원 계획
[습관형성] 최근 목표·계획 돌아보기 → 목표 달성·계획 실행 정도 자기평가 → 어려움(장애물)과 개선방안 → SMART 기법으로 습관 목표 구체화 → 실천 확인(인증) 방법 → 모둠 의견 후 최종 습관 목표</t>
        </is>
      </c>
      <c r="E42" s="23" t="n"/>
      <c r="F42" s="23" t="n"/>
      <c r="G42" s="23" t="n"/>
      <c r="H42" s="23" t="n"/>
      <c r="I42" s="23" t="n"/>
      <c r="J42" s="23" t="n"/>
      <c r="K42" s="23" t="n"/>
      <c r="L42" s="23" t="n"/>
      <c r="M42" s="23" t="n"/>
      <c r="N42" s="23" t="n"/>
      <c r="O42" s="23" t="n"/>
      <c r="P42" s="23" t="n"/>
      <c r="Q42" s="23" t="n"/>
      <c r="R42" s="22" t="n"/>
    </row>
    <row r="43" ht="48" customHeight="1">
      <c r="A43" s="4" t="inlineStr">
        <is>
          <t>p-3</t>
        </is>
      </c>
      <c r="B43" s="18" t="inlineStr">
        <is>
          <t>개별 진로 프로젝트 3차시(트랙별 활동지)</t>
        </is>
      </c>
      <c r="C43" s="22" t="n"/>
      <c r="D43" s="18" t="inlineStr">
        <is>
          <t>[주제탐구] 자료 수집: 기사·논문·도서 등 5~10개 조사, 출처 기록, 핵심 내용 요약, 나의 생각/메모 / [습관형성] 1주차 습관 기록표: 이번 주 목표·인증 방법, 요일별 실천·인증·오늘의 한 줄(동료 응원), 실천 일수·소감</t>
        </is>
      </c>
      <c r="E43" s="23" t="n"/>
      <c r="F43" s="23" t="n"/>
      <c r="G43" s="23" t="n"/>
      <c r="H43" s="23" t="n"/>
      <c r="I43" s="23" t="n"/>
      <c r="J43" s="23" t="n"/>
      <c r="K43" s="23" t="n"/>
      <c r="L43" s="23" t="n"/>
      <c r="M43" s="23" t="n"/>
      <c r="N43" s="23" t="n"/>
      <c r="O43" s="23" t="n"/>
      <c r="P43" s="23" t="n"/>
      <c r="Q43" s="23" t="n"/>
      <c r="R43" s="22" t="n"/>
    </row>
  </sheetData>
  <mergeCells count="30">
    <mergeCell ref="D41:R41"/>
    <mergeCell ref="D32:R32"/>
    <mergeCell ref="B31:C31"/>
    <mergeCell ref="B43:C43"/>
    <mergeCell ref="B39:C39"/>
    <mergeCell ref="D43:R43"/>
    <mergeCell ref="A2:R2"/>
    <mergeCell ref="B42:C42"/>
    <mergeCell ref="D37:R37"/>
    <mergeCell ref="D39:R39"/>
    <mergeCell ref="D30:R30"/>
    <mergeCell ref="B38:C38"/>
    <mergeCell ref="D33:R33"/>
    <mergeCell ref="D42:R42"/>
    <mergeCell ref="D38:R38"/>
    <mergeCell ref="B34:C34"/>
    <mergeCell ref="D40:R40"/>
    <mergeCell ref="B37:C37"/>
    <mergeCell ref="B40:C40"/>
    <mergeCell ref="D35:R35"/>
    <mergeCell ref="B30:C30"/>
    <mergeCell ref="D34:R34"/>
    <mergeCell ref="B33:C33"/>
    <mergeCell ref="B36:C36"/>
    <mergeCell ref="D31:R31"/>
    <mergeCell ref="A1:R1"/>
    <mergeCell ref="B32:C32"/>
    <mergeCell ref="B41:C41"/>
    <mergeCell ref="D36:R36"/>
    <mergeCell ref="B35:C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2026-09-24T11:53:24Z</dcterms:created>
  <dcterms:modified xsi:type="dcterms:W3CDTF">2026-09-28T09:15:51Z</dcterms:modified>
</cp:coreProperties>
</file>