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1201 김담희" sheetId="1" state="visible" r:id="rId1"/>
    <sheet name="11202 김도아" sheetId="2" state="visible" r:id="rId2"/>
    <sheet name="11203 김서훈" sheetId="3" state="visible" r:id="rId3"/>
    <sheet name="11204 김지훈" sheetId="4" state="visible" r:id="rId4"/>
    <sheet name="11205 김하윤" sheetId="5" state="visible" r:id="rId5"/>
    <sheet name="11206 박상욱" sheetId="6" state="visible" r:id="rId6"/>
    <sheet name="11207 박소은" sheetId="7" state="visible" r:id="rId7"/>
    <sheet name="11208 방채원" sheetId="8" state="visible" r:id="rId8"/>
    <sheet name="11209 백주호" sheetId="9" state="visible" r:id="rId9"/>
    <sheet name="11210 변준기" sheetId="10" state="visible" r:id="rId10"/>
    <sheet name="11211 손지훈" sheetId="11" state="visible" r:id="rId11"/>
    <sheet name="11212 심민주" sheetId="12" state="visible" r:id="rId12"/>
    <sheet name="11213 안정연" sheetId="13" state="visible" r:id="rId13"/>
    <sheet name="11214 엄태훈" sheetId="14" state="visible" r:id="rId14"/>
    <sheet name="11215 윤도영" sheetId="15" state="visible" r:id="rId15"/>
    <sheet name="11216 이봉희" sheetId="16" state="visible" r:id="rId16"/>
    <sheet name="11217 이우주" sheetId="17" state="visible" r:id="rId17"/>
    <sheet name="11218 이름확인필요" sheetId="18" state="visible" r:id="rId18"/>
    <sheet name="11219 정은혜" sheetId="19" state="visible" r:id="rId19"/>
    <sheet name="11220 최나은" sheetId="20" state="visible" r:id="rId20"/>
    <sheet name="11221 타이압" sheetId="21" state="visible" r:id="rId21"/>
    <sheet name="11222 허윤주" sheetId="22" state="visible" r:id="rId22"/>
    <sheet name="11223 홍의찬" sheetId="23" state="visible" r:id="rId23"/>
    <sheet name="프로젝트 진행 확인표" sheetId="24" state="visible" r:id="rId24"/>
    <sheet name="차시 목록·반 현황" sheetId="25" state="visible" r:id="rId25"/>
  </sheets>
  <definedNames>
    <definedName name="_xlnm.Print_Titles" localSheetId="0">'11201 김담희'!$4:$4</definedName>
    <definedName name="_xlnm.Print_Titles" localSheetId="1">'11202 김도아'!$4:$4</definedName>
    <definedName name="_xlnm.Print_Titles" localSheetId="2">'11203 김서훈'!$4:$4</definedName>
    <definedName name="_xlnm.Print_Titles" localSheetId="3">'11204 김지훈'!$4:$4</definedName>
    <definedName name="_xlnm.Print_Titles" localSheetId="4">'11205 김하윤'!$4:$4</definedName>
    <definedName name="_xlnm.Print_Titles" localSheetId="5">'11206 박상욱'!$4:$4</definedName>
    <definedName name="_xlnm.Print_Titles" localSheetId="6">'11207 박소은'!$4:$4</definedName>
    <definedName name="_xlnm.Print_Titles" localSheetId="7">'11208 방채원'!$4:$4</definedName>
    <definedName name="_xlnm.Print_Titles" localSheetId="8">'11209 백주호'!$4:$4</definedName>
    <definedName name="_xlnm.Print_Titles" localSheetId="9">'11210 변준기'!$4:$4</definedName>
    <definedName name="_xlnm.Print_Titles" localSheetId="10">'11211 손지훈'!$4:$4</definedName>
    <definedName name="_xlnm.Print_Titles" localSheetId="11">'11212 심민주'!$4:$4</definedName>
    <definedName name="_xlnm.Print_Titles" localSheetId="12">'11213 안정연'!$4:$4</definedName>
    <definedName name="_xlnm.Print_Titles" localSheetId="13">'11214 엄태훈'!$4:$4</definedName>
    <definedName name="_xlnm.Print_Titles" localSheetId="14">'11215 윤도영'!$4:$4</definedName>
    <definedName name="_xlnm.Print_Titles" localSheetId="15">'11216 이봉희'!$4:$4</definedName>
    <definedName name="_xlnm.Print_Titles" localSheetId="16">'11217 이우주'!$4:$4</definedName>
    <definedName name="_xlnm.Print_Titles" localSheetId="17">'11218 이름확인필요'!$4:$4</definedName>
    <definedName name="_xlnm.Print_Titles" localSheetId="18">'11219 정은혜'!$4:$4</definedName>
    <definedName name="_xlnm.Print_Titles" localSheetId="19">'11220 최나은'!$4:$4</definedName>
    <definedName name="_xlnm.Print_Titles" localSheetId="20">'11221 타이압'!$4:$4</definedName>
    <definedName name="_xlnm.Print_Titles" localSheetId="21">'11222 허윤주'!$4:$4</definedName>
    <definedName name="_xlnm.Print_Titles" localSheetId="22">'11223 홍의찬'!$4:$4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i val="1"/>
      <color rgb="00595959"/>
      <sz val="10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sz val="11"/>
    </font>
    <font>
      <name val="맑은 고딕"/>
      <i val="1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CE4D6"/>
        <bgColor rgb="00FCE4D6"/>
      </patternFill>
    </fill>
    <fill>
      <patternFill patternType="solid">
        <fgColor rgb="004472C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0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11201 김담희)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20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안내(자기이해-직업세계-진로탐색-진로설계), 진로활동 질문지, 진로수업 약속·다짐 작성</t>
        </is>
      </c>
      <c r="D5" s="5" t="inlineStr">
        <is>
          <t>· 진로 선생님께: '1년 동안 잘 부탁드립니다'
· 자기소개 문제: 개근상 받음, 사촌 4명, 여동생이 있음 등 6개 작성
· 질문지: 진로를 자신 있게 말할 수 있다 '그렇다' / 꿈을 위해 열심히 노력 '보통' / 가족과 구체적으로 이야기 '그렇지 않다' / 진로 상담 경험 '그렇다'(상대: 교사)
· 진로 결정 시 가장 중요: 나의 소질과 적성 / 정보 탐색: 인터넷·유튜브
· 진로 결정의 어려운 점: '어려운 점은 없었다'
· 진로수업에 바라는 것: '선택과목 선택하는 방법'
· 약속: ★연결 — '내 미래와 연결시켜야 앞으로 선택과목도 그렇고 어떻게 해야 할지 알 것 같아서'
· 깨달은 점: '학교생활을 적극적으로 해야겠다' / 다섯 글자 다짐: '후회없게!'</t>
        </is>
      </c>
      <c r="E5" s="5" t="inlineStr">
        <is>
          <t>진로 자신감은 '그렇다'인데 가족과의 진로 대화는 '그렇지 않다'로 응답. 처음부터 선택과목 결정 방법에 관심을 보임.</t>
        </is>
      </c>
      <c r="F5" s="5" t="inlineStr">
        <is>
          <t>자기소개 문제 3번 미기재</t>
        </is>
      </c>
    </row>
    <row r="6" ht="178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 핵심 전형: 학생부교과·학생부종합 / 정시: 수능 / 수시 수능 최저학력기준 존재
· 내신 5등급제, 1등급 상위 10%, 수행+지필 합산, 수행평가 비중 높음
· 졸업 이수 192학점, 2학년부터 진로에 맞게 과목 선택, 1학년 여름방학 전 진로 정하기
· 세특 = 세부능력 및 특기사항, 세특을 채우는 태도: '수업에 적극적으로 참여'
· 창체: 자율·자치, 동아리 / 담임 기록: 행동특성 및 종합의견
· 2028 수능: 공통 과목, 통합사회·통합과학 / 역전 요소: 세특, 필수 태도: 주도성</t>
        </is>
      </c>
      <c r="E6" s="5" t="inlineStr">
        <is>
          <t>빈칸 문항은 거의 정확하게 채움.</t>
        </is>
      </c>
      <c r="F6" s="5" t="inlineStr">
        <is>
          <t>8번 '활동 후 나의 다짐' 미기재</t>
        </is>
      </c>
    </row>
    <row r="7" ht="122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 계산: 1등급 28명, 2등급 94명, 3등급 183명, 4등급 249명까지 — 모두 정확히 계산
· 목표 점수: 한국사 70점만 기재
· 시험 전 학습계획(4/13~4/20): 한국사만 작성 — 고려 공민왕~조선, 조선~끝 노트 정리, 개념원리 문제풀이로 부족한 부분 공부, 왕에 대해 자세히 알기, 역사책·노트 보며 복습, 인강</t>
        </is>
      </c>
      <c r="E7" s="5" t="inlineStr">
        <is>
          <t>시험 계획이 한국사 한 과목에 몰려 있고 나머지 5과목은 목표 점수와 계획이 모두 비어 있음.</t>
        </is>
      </c>
      <c r="F7" s="5" t="inlineStr">
        <is>
          <t>3번(등급 결정 변수 3문항), 4번 '느낀 점' 미기재 / 한국사 외 목표 점수 미기재</t>
        </is>
      </c>
    </row>
    <row r="8" ht="220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①원만성(넬슨 만델라 / 인사전문가·국제통상전문가·외교관) ②사교성(방송진행자·소셜미디어 마케터·여행가이드) ③유머(1인 미디어 콘텐츠 제작자·코미디언·레크리에이션 강사·예능작가)
· 핵심 강점 '원만성' 연관어: 타협, 조화, 인정, 원활함, 존중, 안정성, 평화, 협의 / 강화 방안: '모두가 만족할 수 있는 의견 마련하기'
· 희망 전공: 유아·특수교육, 초·중등교육, 영상·공연 / 추천 전공: 주거(인테리어)·의류, 유아·특수교육, 복지·상담 / 가장 선호 계열: 유아·특수교육
· 일치 여부: '내가 하고 싶은 건 유치원 교사지만 생각보다 잘 맞지 않다는 건 알고 있었다'
· 선호 직무 유형: 돌봄형 / 직업 가치: 안정성 &gt; 경제적 풍족 &gt; 사회적 인정</t>
        </is>
      </c>
      <c r="E8" s="5" t="inlineStr">
        <is>
          <t>희망 1순위(유아교육)가 검사 추천 1순위(주거·의류)와 다르고, 본인도 '잘 맞지 않다는 건 알고 있었다'고 적음. 상담 때 확인해 볼 부분.</t>
        </is>
      </c>
      <c r="F8" s="5" t="n"/>
    </row>
    <row r="9" ht="234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유치원 교사(유아교육과, 정교사 2급), 놀이치료사(공감·인내·자기성찰 능력, 복지·상담), 보육교사(인내심, 놀이 중심 프로그램 기획), 실내장식 디자이너(예술적 감각, 공학적 정밀함, 주거·의류)
· 결승: 유치원 교사 vs 실내장식 디자이너 → 최종 '유치원 교사'
· 선택 이유: '어렸을 때부터 하고 싶었던 직업이었고 재밌을 것 같아서', '4년 동안 꿈꿔왔던 직업이어서'
· 포기 이유: '인내심이 많지 않아 잘 맞지 않을 것 같음' / 디자이너 선택 이유: '인테리어하면 편할 것 같고 재밌을 것 같아서'
· 가치관 비교: '유치원·보육교사는 안정성과 사회적 인정에 적합하나 보상이 낮고, 디자이너는 경제적 풍족 가능성이 높다. 놀이치료사는 그 중간'</t>
        </is>
      </c>
      <c r="E9" s="5" t="inlineStr">
        <is>
          <t>직업 가치 2순위가 '경제적 풍족'인데 최종 선택한 유치원 교사를 본인이 '보상이 낮다'고 평가함. '인내심이 많지 않다'는 자기 평가도 적어 둠.</t>
        </is>
      </c>
      <c r="F9" s="5" t="inlineStr">
        <is>
          <t>3번 미래 명함 미작성(뒷면 공란)</t>
        </is>
      </c>
    </row>
    <row r="10" ht="248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광고홍보학과 / 관심 대학: 경기대
· 학과 개요: 광고가 효과적으로 전달되려면 어떤 매체를 이용해야 하는지 파악하고 광고물 기획·제작에 참여
· 연결 포인트: 'TV 광고를 유심히 보기도 했고, 사실 연예인도 보고 싶어서'
· 고교 과목: 독서, 문학, 수학Ⅰ·Ⅱ, 영어Ⅰ·Ⅱ, 언어와 매체, 영어회화, 사회·문화, 경제, 심리학, 음악, 실용영어, 음악감상과 비평, 정보
· 대학 교과목: 광고학개론, 홍보학개론, 광고심리학, 커뮤니케이션론, 광고와 마케팅, 광고디자인실습, 영상디자인실습
· 자격증: 멀티미디어콘텐츠제작전문가, 컴퓨터활용능력, 디지털정보활용능력, 무대예술전문인 / 진출: 홍보담당자, CF감독, 프로모션기획자, 광고홍보전문가
· 노력할 것: 광고·홍보 더 찾아보기, 독서활동, 문학·매체 등 관련 교과 수강</t>
        </is>
      </c>
      <c r="E10" s="5" t="inlineStr">
        <is>
          <t>1-4·1-5의 유아교육 방향과 달리 광고홍보학과를 탐색함(2인 1조 활동이라 짝과 같은 학과를 골랐을 수 있음). 1학기 최종 활동지에는 7차시 희망 학과를 '유아교육학과, 그대로 유지'로 적어 실제 기록과 다름.</t>
        </is>
      </c>
      <c r="F10" s="5" t="inlineStr">
        <is>
          <t>학과 전망(취업률) 미기재</t>
        </is>
      </c>
    </row>
    <row r="11" ht="122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수학과): 학생부교과 학교장추천인재 4명(학생부교과 70%+교과 관련 서류 30%, 최저 없음), 학생부종합 Do Dream 9명(1단계 서류 100%, 2단계 면접 40%+1단계 60%), 논술 5명(학생부 20%+논술 80%, 최저 있음), 정시 나군 9명(수능 위주) 표 작성
· 본인 관련 부분(경쟁력 별점, 도전 전형·선택 이유)은 작성하지 않음</t>
        </is>
      </c>
      <c r="E11" s="5" t="inlineStr">
        <is>
          <t>조별 연습 표만 채우고 본인의 대입 설계 부분은 비어 있음.</t>
        </is>
      </c>
      <c r="F11" s="5" t="inlineStr">
        <is>
          <t>전형별 반영 교과 표, 2번 step1(별점)·step2(도전 전형) 전체 미기재</t>
        </is>
      </c>
    </row>
    <row r="12" ht="150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다짐, 과목 선택 10가지 점검</t>
        </is>
      </c>
      <c r="D12" s="5" t="inlineStr">
        <is>
          <t>· 돌아보기: 5차시 최고 관심 직업 '유치원 교사' 그대로 유지 / 7차시 희망 학과 '유아교육학과' 그대로 유지 / 8차시 목표 대학 '가천대' 완전히 바뀜 — 이유 '여전히 관심이 있어서'
· 최종 진로 목표: 교육계열 / 유치원 교사 / 유아교육학과 / 가천대(1순위)
· 2학기 다짐: '공부에 살고 공부에 죽는다.'</t>
        </is>
      </c>
      <c r="E12" s="5" t="inlineStr">
        <is>
          <t>최종 목표는 유치원 교사로 일관됨. 다만 7차시 실제 기록(광고홍보학과·경기대)과 회고 내용이 다름. 과목 선택 설계와 전형 연계가 공란이어서 2학기 과목 선택 상담이 필요함(1-1에서 '선택과목 선택 방법'을 원했던 것과 연결됨).</t>
        </is>
      </c>
      <c r="F12" s="5" t="inlineStr">
        <is>
          <t>3번 과목 선택 설계, 4번 대입 전형 연계·2학기 집중 과제, 2쪽 점검표 미기재</t>
        </is>
      </c>
    </row>
    <row r="13" ht="175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2025 공과대학 컴퓨터공학부(1조)
· 학업역량: C&gt;A&gt;B — 이유: '올 1등급!!! 대단해요~'
· 진로역량: B&gt;C&gt;A — 이유: 'B가 자신의 진로에 대해 발표나 분석한 것이 많았기 때문'
· 공동체역량: B&gt;C&gt;A(표시 흐림) — 이유 미기재
· 조별 예상 순위: B-C-A / 결과 확인: C-A-B → 불일치
· 느낀 점: '성적이 정말 큰 영향을 준다. 많은 활동을 해야겠다.'
· 배운 점: '공부에 살고 공부에 죽는다.'</t>
        </is>
      </c>
      <c r="E13" s="5" t="inlineStr">
        <is>
          <t>학업역량 이유를 감탄 표현으로만 적어 근거 제시가 부족함. 느낀 점이 '성적'에 집중됨.</t>
        </is>
      </c>
      <c r="F13" s="5" t="inlineStr">
        <is>
          <t>공동체역량 이유 미기재 / 학업·공동체 순위 글씨 일부 판독 어려움</t>
        </is>
      </c>
    </row>
    <row r="14" ht="122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① 주제탐구(진로연계형)
· 트랙: ① 주제탐구 체크(③ 습관형성 칸에도 표시가 있으나 X로 지운 것으로 보임), 진로연계형
· 선택 이유: '유치원 교사가 진로이기에 이 직업과 진로에 대해 알아보기 위해서 주제탐구를 선택했습니다'
· 관심 분야: 유치원 교사, 초등학교 교사, 병설 유치원 교사</t>
        </is>
      </c>
      <c r="E14" s="5" t="inlineStr">
        <is>
          <t>1학기 최종 목표(유치원 교사)와 일관됨. 잠정 주제가 아직 없어 2차시 전에 주제를 구체화해야 함.</t>
        </is>
      </c>
      <c r="F14" s="5" t="inlineStr">
        <is>
          <t>그렇게 생각한 이유·잠정 주제·주제 선택 이유·8차시 계획·다짐·자가 점검 미기재</t>
        </is>
      </c>
    </row>
    <row r="15" ht="179" customHeight="1">
      <c r="A15" s="4" t="inlineStr">
        <is>
          <t>P-2</t>
        </is>
      </c>
      <c r="B15" s="5" t="inlineStr">
        <is>
          <t>진로 프로젝트 2차시(주제탐구): 탐구 방법 안내 &amp; 탐구계획서</t>
        </is>
      </c>
      <c r="C15" s="5" t="inlineStr">
        <is>
          <t>통계·기사·논문·기관 사이트 등 자료원 안내, 핵심 탐구 질문과 하위 질문 3개 작성, 활용할 자료원 정리</t>
        </is>
      </c>
      <c r="D15" s="5" t="inlineStr">
        <is>
          <t>[주제탐구] 짝 없음
· 핵심 질문: '유치원 교사는 어떤 역할을 하며, 유아의 성장과 발달에 어떤 영향을 미치는가?'
· 하위 ①: 유치원 교사는 유아의 생활과 학습을 위해 어떤 일을 할까?
· 하위 ②: 유치원 교사는 유아의 정서 발달을 어떻게 도울 수 있을까?
· 하위 ③: 유치원 교사는 예상하지 못한 상황에 어떻게 대처할까?
· 자료원: 도서 『나의 직업 유치원 교사』(청소년행복연구실)</t>
        </is>
      </c>
      <c r="E15" s="5" t="inlineStr">
        <is>
          <t>1차시에 비어 있던 잠정 주제를 유치원 교사의 역할로 구체화함. 1학기부터 이어진 유치원 교사 목표와 일관됨. 자료원이 책 1권뿐이라 통계·논문 등을 보충하도록 안내하면 좋음.</t>
        </is>
      </c>
      <c r="F15" s="5" t="inlineStr">
        <is>
          <t>자료원 1개만 기재</t>
        </is>
      </c>
    </row>
    <row r="16" ht="295" customHeight="1">
      <c r="A16" s="4" t="inlineStr">
        <is>
          <t>P-3</t>
        </is>
      </c>
      <c r="B16" s="5" t="inlineStr">
        <is>
          <t>진로 프로젝트 3차시(주제탐구): 자료 수집</t>
        </is>
      </c>
      <c r="C16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6" s="5" t="inlineStr">
        <is>
          <t>[주제탐구] 자료 4개 수집
· ① 『나의 직업 유치원 교사』(청소년 행복 연구실, 출처명 일부 판독 어려움): 유아의 기본 생활 습관·언어 능력 발달에 영향을 미침. 유아가 교사의 말투·행동을 모방하므로 도덕적인 태도를 보여야 함
· ② 대한안전교육협회(추정)·구리시청: 출혈·질식 → 119 신고·학부모 연락 / 또래 갈등 → 유아가 스스로 협상하도록 / 응급처치 교육 → 심폐소생술 실습, 자동심장충격기 사용·관리
· ③ 한국학술지인용색인(KCI): '감정에 이름 붙이기'로 자신의 감정을 표현하게 하면 정서 인지·감정 조절 능력이 높아져 공격적 행동 완화에 기여
· ④ 커리어넷: 유아가 할 수 있는 다양한 수업 방법 계획, 정리정돈 지도, 초등학교 입학 전 필요한 교육 제공</t>
        </is>
      </c>
      <c r="E16" s="5" t="inlineStr">
        <is>
          <t>2차시 핵심 질문(유치원 교사의 역할·유아 발달 영향)과 하위 질문(생활·학습 지원, 정서 발달, 돌발 상황 대처)에 맞춰 자료를 고르게 모음. 2차시에 자료원을 1개만 적었던 것에 비해 크게 보완됨.</t>
        </is>
      </c>
      <c r="F16" s="5" t="inlineStr">
        <is>
          <t>자료 ⑤, 나의 생각/메모 미기재 / 자료 ①·② 출처명 일부 판독 어려움(원본 확인 필요)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11202 김도아)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않음. 1-3·1-8·최종 활동지에는 학번·이름이 비어 있으나 개인 파일에 들어 있어 이 학생 것으로 정리함.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192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'나는 언니가 있다', '나는 동아리에 지원했다', '나는 동생이 있다'(1세트만 작성)
· 질문지: 진로를 자신 있게 말할 수 있다·꿈을 위해 노력·가족과 구체적 대화·필요한 공부 알고 노력 모두 '그렇다' / 진로 상담 경험 '매우 그렇다'(상대: 교사, 부모·친척)
· 진로 결정 시 가장 중요: 나의 소질과 적성 / 정보 탐색: 인터넷, 관련 서적, 진로 상담
· 진로수업에 바라는 것: '화학공학, 생명공학 쪽으로 가면 어떤 직업을 가질 수 있는지 알고 싶어요'
· 약속: ★적극 — '수업에 적극적으로 참여해야 나의 진로를 찾아나갈 수 있다고 생각하기 때문이다'</t>
        </is>
      </c>
      <c r="E5" s="5" t="inlineStr">
        <is>
          <t>학기 초부터 화학공학·생명공학 쪽으로 방향이 잡혀 있음. 진로 탐색 문항 전반을 긍정적으로 응답함.</t>
        </is>
      </c>
      <c r="F5" s="5" t="inlineStr">
        <is>
          <t>진진가 퀴즈 정답·선생님께 인사, 깨달은 점, 다섯 글자 다짐 미기재</t>
        </is>
      </c>
    </row>
    <row r="6" ht="192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 핵심 전형: 학생부교과·학생부종합 / 정시: 수능 / 수능 최저학력기준
· 내신 5등급제, 1등급 상위 10%, 지필+수행, 수행평가 비중 높음
· 졸업 192학점, 2학년부터 진로(희망)에 맞게 과목 선택, 1학년 여름방학 전 진로 정하기
· 학종 정성평가 대상: 과정·생기부·세특 / 세특 = 세부능력 및 특기사항, 세특을 채우는 태도: '적극적인 태도(발표, 질문, 과제 성실 수행)'
· 창체: 자율, 동아리 / 담임 기록: 행동특성 및 종합의견 / 2028 수능: 공통, 통합사회·통합과학, 정시에 내신·생기부 반영
· 고교 생활 전략: 역전, 주도성</t>
        </is>
      </c>
      <c r="E6" s="5" t="inlineStr">
        <is>
          <t>빈칸을 빠짐없이, 거의 정확하게 채움.</t>
        </is>
      </c>
      <c r="F6" s="5" t="inlineStr">
        <is>
          <t>8번 '활동 후 나의 다짐' 미기재</t>
        </is>
      </c>
    </row>
    <row r="7" ht="178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 계산: 1등급 28명, 2등급 94명, 3등급 183명, 4등급 249명까지 — 계산식과 함께 정확히 작성
· 등급 결정 변수: 동점자는 '전원 2등급', 대학이 깊게 보는 항목 '세특', 세특 NEIS 확인 '2학년 진급 후 확인 가능'
· 목표 점수: 통합과학 80점(공통수학은 적었다가 지움)
· 시험 전 계획(통합과학만): 4/13 지구·생명 파트 부교재·교과서 복습 → 4/15 화학 파트 복습·문제집·강의 수강 → 4/18 전체 복습, 어려운 부분·특정 문제 오답</t>
        </is>
      </c>
      <c r="E7" s="5" t="inlineStr">
        <is>
          <t>3번 변수 문항까지 모두 답한 몇 안 되는 활동지. 다만 시험 계획은 통합과학 한 과목만 작성함.</t>
        </is>
      </c>
      <c r="F7" s="5" t="inlineStr">
        <is>
          <t>4번 '느낀 점' 미기재 / 통합과학 외 목표 점수·계획 미기재 / 활동지 학번·이름 공란</t>
        </is>
      </c>
    </row>
    <row r="8" ht="164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①감정회복력(헬렌 켈러 / 스포츠 카운슬러·정신과 의사·사회복지사) ②사교성(소셜미디어 마케터·방송진행자·여행가이드) ③협동심(공자 / 국제협력기구 전문가·사회적기업 운영자 등)
· 핵심 강점 '감정회복력' 연관어: 심리치료, 극복, 헬렌 켈러, 회복, 스트레스, 치유, 슬픔, 분노
· 희망 전공: 화공·재료, 바이오·화학, 초·중등교육 / 추천 전공: 화공·재료, 바이오·화학, 의료 → 1·2순위 일치 / 가장 선호 계열: 공학계열
· 선호 직무 유형: 연구자형 / 직업 가치: 안정성 &gt; 경제적 풍족 &gt; 창의성</t>
        </is>
      </c>
      <c r="E8" s="5" t="inlineStr">
        <is>
          <t>희망 전공과 검사 추천 전공의 1·2순위가 정확히 일치함(화공·재료, 바이오·화학).</t>
        </is>
      </c>
      <c r="F8" s="5" t="inlineStr">
        <is>
          <t>강점 강화 방안, 일치 여부 서술 미기재</t>
        </is>
      </c>
    </row>
    <row r="9" ht="164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 정보 작성
  - 화학공정 엔지니어: 화학제품 생산 과정의 온도·압력·화학반응 관리, 공정 개선 / 문제해결능력, 수학·화학 이해 / 화공과·화학과·바이오공학과
  - 화장품 제조 공정 엔지니어: 원료 배합·생산 공정 관리·품질 유지 / 화학 지식, 세심함, 품질관리 능력 / 화공과·화장품공학과
  - 성형외과 의사: 외모 개선·신체 복원 수술·치료 / 집중력, 손기술, 의사소통 / 의예과
  - 중·고등 과학 교사: 과학 개념과 실험 지도 / 설명 능력, 책임감, 의사소통 / 화학교육과 등</t>
        </is>
      </c>
      <c r="E9" s="5" t="inlineStr">
        <is>
          <t>직업 정보 표는 꼼꼼히 작성함. 화학 기반 진로(공정·화장품)가 중심이고 의료·교육도 후보에 있음.</t>
        </is>
      </c>
      <c r="F9" s="5" t="inlineStr">
        <is>
          <t>2번 토너먼트(최종 선택·이유), 가치관 비교, 3번 미래 명함 미기재</t>
        </is>
      </c>
    </row>
    <row r="10" ht="276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화장품공학과, 화학공학과 / 관심 대학: 동덕여대·한양대
· 학과 개요: 화장품공학과는 화장품의 성분·제조 공정·피부과학 등을 연구하고, 화공과는 화학 원리를 바탕으로 산업에서 쓰이는 물질의 생산·공정을 설계함. 졸업 후 연구원·엔지니어로 다양한 산업에서 일할 수 있음
· 연결 포인트: '화학적 원리와 규칙을 배우는 것을 좋아하고 미용적인 것에 관심이 많다'
· 고교 과목: 물리학, 화학, 생명과학, 수학 / 대학 교과목: 공학수학, 화학공정, 화장품 성분학, 생화학 등
· 자격증: 화학분석기사, 공업화학기사, 화공기사, 화학분석기능사 등 / 진출: 정밀화학업체, 기능성 화장품업체, 화장품 제조업체
· 노력할 것: '수학·과학 학업성취도를 높이고, 수업을 통해 전공 적합성·문제해결능력·창의력을 길러 세특에 드러나도록. 다양한 분야의 독서로 융합적 소양을 키우겠다'</t>
        </is>
      </c>
      <c r="E10" s="5" t="inlineStr">
        <is>
          <t>화학 + 미용(화장품)이라는 본인만의 연결 지점을 찾아냄. 다짐이 학생부 관리 관점까지 이어져 구체적임.</t>
        </is>
      </c>
      <c r="F10" s="5" t="inlineStr">
        <is>
          <t>학과 전망(취업률) 미기재</t>
        </is>
      </c>
    </row>
    <row r="11" ht="122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학생부교과 학교장추천 4명(교과 70%+서류 30%), 학생부종합 Do Dream 9명(1단계 서류 100%, 2단계 면접 40%+1단계 60%), 논술 5명(학생부 30%+논술 70%, 최저 있음), 정시 9명(수능 80%+학생부평가 20%)
· 반영 교과: 국·수·영·사·과, 공통과목 제외 석차등급이 병기되는 상위 10과목</t>
        </is>
      </c>
      <c r="E11" s="5" t="inlineStr">
        <is>
          <t>사전 연습 표와 반영 교과까지 채움.</t>
        </is>
      </c>
      <c r="F11" s="5" t="inlineStr">
        <is>
          <t>2번 step1(별점)·step2(본인 도전 전형) 미기재 / 활동지 학번·이름 공란</t>
        </is>
      </c>
    </row>
    <row r="12" ht="178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'화학공정 엔지니어'·7차시 '화학공학과'·8차시 '한양대' 모두 그대로 유지 — 이유 '화학공정 엔지니어에 대한 흥미가 여전히 있다'
· 최종 목표: 화학공학 계열 / 화학공정 엔지니어 / 화학공학과 / 한양대
· 과목 선택: 수학(수학적 능력 필요) — 기하, 미적분Ⅱ, 경제수학, 인공지능수학, 전문수학(2학기) / 과학(과학적 지식 필요) — 역학과 에너지, 화학 반응의 세계, 세포와 물질대사, 행성우주과학(2학기)
· 대입: 수시 학생부교과, 정시 수능 / 2학기 집중 과제: '모의고사 연습 + 이과 과목 열심히'</t>
        </is>
      </c>
      <c r="E12" s="5" t="inlineStr">
        <is>
          <t>1학기 내내 화학공학·화학공정 엔지니어로 진로가 일관됨. 과목 선택 설계가 진로와 잘 연결되어 있음.</t>
        </is>
      </c>
      <c r="F12" s="5" t="inlineStr">
        <is>
          <t>국어·영어·사회·기타 과목 설계, 2학기 다짐 미기재 / 활동지 학번·이름 공란</t>
        </is>
      </c>
    </row>
    <row r="13" ht="174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2025 공과대학 컴퓨터공학부(1조)
· 학업역량: C&gt;A&gt;B — 이유 미기재
· 진로역량: B&gt;A&gt;C — 이유 미기재
· 공동체역량: A&gt;C&gt;B — 이유 미기재
· 조별 예상 순위: B-C-A / 결과 확인: C-A-B → 불일치
· 느낀 점: '성적이 영향을 많이 미친다는 걸 느꼈고, 스스로 학습하는 태도가 많이 중요한 것 같다.'
· 배운 점: '내가 부족한 걸 알아가면서 구체적이고 적극적으로 해결해 나가는 능력을 배우고 싶다.'</t>
        </is>
      </c>
      <c r="E13" s="5" t="inlineStr">
        <is>
          <t>순위 근거는 모두 비웠지만 느낀 점·배운 점은 자기주도성과 연결해 성찰적으로 씀.</t>
        </is>
      </c>
      <c r="F13" s="5" t="inlineStr">
        <is>
          <t>이름 미기재 / 3개 역량 이유 모두 미기재</t>
        </is>
      </c>
    </row>
    <row r="14" ht="108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① 주제탐구(관심사 탐구형)
· 선택 이유: '관심 분야인 화학, 생명과학, 방사선학의 연관성을 알아보고 실제 생활에서 쓰이는 사례를 탐구해보고 싶어서'
· 관심 분야: 화학, 생명과학, 방사선학
· 생각한 이유: '화학과 생명과학이 재미있다고 느껴졌고 방사선학이 의료 쪽에서 어떻게 쓰이는지 궁금함'</t>
        </is>
      </c>
      <c r="E14" s="5" t="inlineStr">
        <is>
          <t>이과(화학·생명)와 의료(방사선) 쪽 관심이 뚜렷함.</t>
        </is>
      </c>
      <c r="F14" s="5" t="inlineStr">
        <is>
          <t>잠정 주제·주제 선택 이유·8차시 계획·다짐 미기재</t>
        </is>
      </c>
    </row>
    <row r="15" ht="220" customHeight="1">
      <c r="A15" s="4" t="inlineStr">
        <is>
          <t>P-2</t>
        </is>
      </c>
      <c r="B15" s="5" t="inlineStr">
        <is>
          <t>진로 프로젝트 2차시(주제탐구): 탐구 방법 안내 &amp; 탐구계획서</t>
        </is>
      </c>
      <c r="C15" s="5" t="inlineStr">
        <is>
          <t>통계·기사·논문·기관 사이트 등 자료원 안내, 핵심 탐구 질문과 하위 질문 3개 작성, 활용할 자료원 정리</t>
        </is>
      </c>
      <c r="D15" s="5" t="inlineStr">
        <is>
          <t>[주제탐구] 짝 없음
· 핵심 질문: '방사선 치료의 효과는 높이고 부작용은 줄이기 위해 화학적 조절제와 표적 기술을 생명체 세포 반응에 어떻게 융합할 수 있을까?'
· 하위 ①: 방사선 때문에 생기는 활성산소(독성물질)를 화학적 방호제가 어떤 원리로 중화하여 정상 세포 손상을 막는가?
· 하위 ②: 화학적 민감제는 암세포의 생체 복구 시스템과 세포주기(방사선에 약한 타이밍)에 어떻게 관여하여 방사선 치료 효과를 높이는가?
· 하위 ③: 암세포 표면 수용체를 인식하는 표적물질과 방사성 동위원소를 결합한 방사성 의약품은 어떻게 암세포만 선택적으로 파괴하는가?
· 자료원: 사이언스온, 국가 R&amp;D 연구보고서, 방사선 방호제의 기능과 기작 연구</t>
        </is>
      </c>
      <c r="E15" s="5" t="inlineStr">
        <is>
          <t>1차시 관심사(화학·생명과학·방사선학)를 방사선 치료 쪽으로 좁혀 반에서 가장 전문적인 탐구 질문을 세움. 수준이 높아 8차시 안에 다 다루기 어려울 수 있으니 하위 질문 1~2개에 집중하도록 조언하면 좋음.</t>
        </is>
      </c>
      <c r="F15" s="5" t="inlineStr">
        <is>
          <t>자료원 마지막 항목 일부 판독 어려움</t>
        </is>
      </c>
    </row>
    <row r="16" ht="267" customHeight="1">
      <c r="A16" s="4" t="inlineStr">
        <is>
          <t>P-3</t>
        </is>
      </c>
      <c r="B16" s="5" t="inlineStr">
        <is>
          <t>진로 프로젝트 3차시(주제탐구): 자료 수집</t>
        </is>
      </c>
      <c r="C16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6" s="5" t="inlineStr">
        <is>
          <t>[주제탐구] 자료 출처만 4개 기재
· ① 사이언스온 — 방사선방호제의 기능과 기작 연구(연구자명 일부 판독 어려움)
· ② 국가암정보센터
· ③ 연합뉴스
· ④ 서울아산병원
· 핵심 내용 요약 ①~④, 나의 생각/메모는 모두 비어 있음</t>
        </is>
      </c>
      <c r="E16" s="5" t="inlineStr">
        <is>
          <t>2차시에 방사선 치료 효과↑·부작용↓라는 매우 구체적인 탐구계획을 세웠고 출처도 주제에 맞게 골랐으나, 요약을 하나도 적지 않음. 자료를 읽고 '나의 언어로 요약'하는 단계로 넘어가도록 확인 필요.</t>
        </is>
      </c>
      <c r="F16" s="5" t="inlineStr">
        <is>
          <t>핵심 내용 요약 ①~④, 자료 ⑤, 나의 생각/메모 미기재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11203 김서훈)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않음. 진로수업 외에 '1학년 멘토링 활동지(독서)'가 함께 스캔되어 있어 '멘토링' 행으로 정리함.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20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여동생이 있다, 17살이다, 진로를 정하지 않았다(X), 학교에서 걸어서 20분이다, 용돈을 안 받는다 등
· 질문지: 진로를 자신 있게 말할 수 있다 '보통' / 꿈을 위해 노력 '그렇다' / 가족과 구체적 대화 '매우 그렇지 않다' / 필요한 공부 알고 노력 '보통' / 상담 경험 '보통'(상대: 교사)
· 진로 결정 시 가장 중요: 나의 소질과 적성 / 정보 탐색: 인터넷
· 진로 결정의 어려운 점: 나의 특성을 몰라서, 진로 정보 탐색이 어려워서, 부모님과 의견이 달라서
· 진로수업에 바라는 것: '2·3학년 선택과목을 진로에 맞게 선정하는 방법'
· 약속: ★적극 — '모든 수업에 적극적으로 참여해야 하기 때문' / 다섯 글자 다짐: '열심히 하자'</t>
        </is>
      </c>
      <c r="E5" s="5" t="inlineStr">
        <is>
          <t>가족과의 진로 대화를 '매우 그렇지 않다'로 응답하고, 어려운 점으로 '부모님과 의견이 달라서'를 체크함(1-5 포기 이유와 연결됨).</t>
        </is>
      </c>
      <c r="F5" s="5" t="inlineStr">
        <is>
          <t>진진가 퀴즈 정답·선생님께 인사 미기재</t>
        </is>
      </c>
    </row>
    <row r="6" ht="178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최저학력기준 / 정시: 수능
· 내신 5등급제, 1등급 상위 10%, 지필+수행, 수행평가 비중 높음 / 졸업 192학점, 2학년부터 진로에 맞게 과목 선택, 1학년 여름방학 전 진로 정하기
· 세특 = 세부능력 및 특기사항, 세특을 채우는 태도: '수업에 적극적으로 참여(발표, 질문, 과제 성실 수행)'
· 창체: 자율·자치, 동아리 / 행동특성 및 종합의견 / 2028 수능: 공통, 통합사회·통합과학 / 역전, 주도성</t>
        </is>
      </c>
      <c r="E6" s="5" t="inlineStr">
        <is>
          <t>빈칸을 빠짐없이 정확하게 채움.</t>
        </is>
      </c>
      <c r="F6" s="5" t="inlineStr">
        <is>
          <t>8번 '활동 후 나의 다짐' 미기재</t>
        </is>
      </c>
    </row>
    <row r="7" ht="164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 — 정확
· 등급 결정 변수: 동점자 '2등급', 대학이 깊게 보는 항목 '세특'
· 목표 점수: 공통수학 80점
· 시험 전 계획(4/13~4/20): 6과목 모두 날짜별로 작성 — 공통수학 기출문제 1~5회·쎈C·개념+교과서+프린트 / 공통영어 기출문제집+모의고사, 교과서+기출 2회독 / 한국사 개념완성 2회독·학교 1회독 / 통합사회 완자+교과서 자료 / 통합과학 오투+부교재 / 공통국어 평가문제집·모의고사</t>
        </is>
      </c>
      <c r="E7" s="5" t="inlineStr">
        <is>
          <t>6과목 시험 계획을 교재 이름과 회독 수까지 적어 반에서 손꼽히게 구체적임. 계획성(1-4 강점 2순위)이 실제로 드러남.</t>
        </is>
      </c>
      <c r="F7" s="5" t="inlineStr">
        <is>
          <t>3번 NEIS 확인 시점, 4번 '느낀 점' 미기재 / 공통수학 외 목표 점수 미기재</t>
        </is>
      </c>
    </row>
    <row r="8" ht="234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①끈기(세종대왕 / 반려동물 행동교정 전문가·운동선수·연주가·동물사육사) ②계획성(벤자민 프랭클린 / 데이터 아키텍처 전문가·행정가·회계사) ③개방성(파블로 피카소 / 글로벌 홍보전문가·다문화 언어교사·융합형 디자이너)
· 핵심 강점 '끈기' 연관어: 노력, 성실, 계획, 목표, 완성, 성공, 러닝, 인내 / 강화 방안: '한 가지를 정해서 그것을 1달 동안 꾸준히 빠짐없이 하는 것'
· 희망 전공: 초·중등교육, 영상·공연, 미술·디자인 / 추천 전공: 초·중등교육, 유아·특수교육, 천문·지구 / 가장 선호 계열: 교육계열
· 일치 여부: '일치하지 X. 내가 하고 싶은 직업과 나의 흥미와 맞지 않기 때문에 그런 것 같다'
· 선호 직무 유형: 돌봄형 / 직업 가치: 사회봉사 &gt; 안정성 &gt; 경제적 풍족</t>
        </is>
      </c>
      <c r="E8" s="5" t="inlineStr">
        <is>
          <t>1순위(초·중등교육)는 일치. 희망 2·3순위에 영상·공연, 미술·디자인이 있어 예술 쪽 관심도 드러남.</t>
        </is>
      </c>
      <c r="F8" s="5" t="n"/>
    </row>
    <row r="9" ht="262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중·고등교사(교과 지도·생활지도·평가·상담 / 교과 지식, 수업 능력, 책임감 / 수학교육과 등), 애니메이터(기획·원화·연출·채색 등 / 공간감각·관찰력·디지털 도구 활용 / 만화애니메이션학과), 연주가(독주·오케스트라 등 / 연습 습관, 음악 해석력, 집중력 / 음악학과·기악과), 천문학 연구원(천체 관측·자료 분석 / 수리·논리력, 물리·수학 지식, 탐구심 / 천문학과·천문우주학과)
· 준결승: 중·고등교사('천문학 연구원보다 더 관심이 있고 지금까지 깊이 생각한 직업') vs 애니메이터('연주가와 흥미가 비슷하지만 그래도 깊이 고민한 직업')
· 최종: 중·고등교사 — '선생님과의 추억도 있고 많이 고민한 직업이기 때문에' / 애니메이터 포기 이유: '부모님의 반대가 심함'
· 가치관 비교: '돌봄형·사회봉사·안정성에는 잘 맞고, 경제적 풍족은 보통 수준이라 아주 적합하진 않다'</t>
        </is>
      </c>
      <c r="E9" s="5" t="inlineStr">
        <is>
          <t>애니메이터를 포기한 이유가 '부모님의 반대가 심함'. 1-1의 '부모님과 의견이 달라서', '가족과 진로 대화 매우 그렇지 않다'와 연결되어 상담 때 살펴볼 부분.</t>
        </is>
      </c>
      <c r="F9" s="5" t="inlineStr">
        <is>
          <t>3번 미래 명함 미작성</t>
        </is>
      </c>
    </row>
    <row r="10" ht="192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수학교육과 / 관심 대학: 동국대학교
· 학과 개요: 수학 교과 역량을 길러 학생들이 미래 사회 구성원의 역할을 수행하고, 수학의 필요성·유용성을 이해하며 수학 학습의 즐거움을 느끼게 하는 다양한 방법을 연구함
· 연결 포인트: '수학을 풀 때마다 재밌고 뿌듯하게 느껴짐'
· 고교 과목: 수학, 과학 / 대학 교과목: 교육학개론, 교육심리학, 교육사회학, 교육행정 등
· 자격증: 중등학교 2급 정교사, 정보처리기사 등 / 진출: 교육청, 교육부, 국·공·사립 중·고등학교
· 노력할 것: '수학·과학 기초 탄탄히, 교육 관련 행사 참여, 출결 관리'</t>
        </is>
      </c>
      <c r="E10" s="5" t="inlineStr">
        <is>
          <t>수학교사 진로와 일관됨.</t>
        </is>
      </c>
      <c r="F10" s="5" t="inlineStr">
        <is>
          <t>학과 전망(취업률) 미기재</t>
        </is>
      </c>
    </row>
    <row r="11" ht="94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학생부교과 4명(교과 70%+서류 30%), 학생부종합 9명(1단계 서류 100%, 2단계 면접 40%+1단계 60%), 논술 5명(논술 70%+교과 20%+출결 10%, 최저 있음), 정시 9명(수능 80%+학생부평가 20%)</t>
        </is>
      </c>
      <c r="E11" s="5" t="inlineStr">
        <is>
          <t>사전 연습 표만 채움.</t>
        </is>
      </c>
      <c r="F11" s="5" t="inlineStr">
        <is>
          <t>반영 교과 표, 2번 step1·step2 미기재</t>
        </is>
      </c>
    </row>
    <row r="12" ht="192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'중등 수학교사'·7차시 '수학교육과'·8차시 '자연계열' 모두 그대로 유지 — 이유 '아직까지는 1순위이다'
· 최종 목표: 자연계열 / 중등 수학교사 / 수학교육과 / 목표 대학 '모르겠음'
· 과목 선택: 국어 — 주제탐구 독서, 문학과 영상 / 수학 — 기하, 인공지능수학, 미적분Ⅱ / 사회 — 경제, 윤리와 사상, 현대사회와 윤리 / 과학 — 생명과학, 세포와 물질대사, 생물의 유전 / 기타 — 인간과 심리, 중국어·중국어 회화 등
· 대입: 수시 학생부종합, 정시 수능 / 2학기 집중 과제: '수능 최저' / 다짐: '학교 수업 열심히 듣자'</t>
        </is>
      </c>
      <c r="E12" s="5" t="inlineStr">
        <is>
          <t>수학교사로 진로가 일관되고, 과목 선택 설계를 전 영역에 걸쳐 작성함. 목표 대학은 아직 정하지 못함.</t>
        </is>
      </c>
      <c r="F12" s="5" t="n"/>
    </row>
    <row r="13" ht="234" customHeight="1">
      <c r="A13" s="4" t="inlineStr">
        <is>
          <t>멘토링</t>
        </is>
      </c>
      <c r="B13" s="5" t="inlineStr">
        <is>
          <t>1학년 멘토링 활동지(나의 책 취향·독서 준비·비판적 리뷰)</t>
        </is>
      </c>
      <c r="C13" s="5" t="inlineStr">
        <is>
          <t>문학·비문학 지문으로 책 취향 알아보기, 관심 키워드·책 선정·읽기 방법 정하기, 독서 경험 되돌아보기, 지문을 비판적으로 검토하고 저자에게 질문하기</t>
        </is>
      </c>
      <c r="D13" s="5" t="inlineStr">
        <is>
          <t>· 관심 키워드: 수학, 역사, 자연계열 학과, 과학(생명, 지구), 교육
· 책 선정: 전문서·교양서, 줄거리 기준 / 읽기 방법: 요약·해석본
· 기억나는 책: 『교사는 아이의 삶을 어떻게 바꾸는가』 — 교사가 아이를 어떻게 대하고 어떤 사람이 되어야 하는지 / 『수학이 생명의 언어라면』 — 수학이 생명과학에 미치는 영향, 수학적으로 생명과학을 탐구하는 방법
· 저자에게 궁금한 점: '교사라는 직업이 왜 이렇게 힘들게 되었는가?', '수학이 없었다면 다른 분야에는 어떤 악영향이 있는가?'
· 비판적 리뷰(김상욱 『떨림과 울림』): 요약 '모든 이론은 대칭에서 온다. 대칭성 있는 이론은 아름다움을 가진다' → 질문 '대칭이 아닌 것들은 아름답지 못한가? 대칭이어야만 아름다운 건가요?'</t>
        </is>
      </c>
      <c r="E13" s="5" t="inlineStr">
        <is>
          <t>수학교사 진로와 맞는 책(교사론, 수학×생명과학)을 스스로 읽어 옴. P-1에서 고른 '수학 자체 탐구' 주제의 바탕이 되는 독서 경험.</t>
        </is>
      </c>
      <c r="F13" s="5" t="inlineStr">
        <is>
          <t>진로수업 차시가 아닌 멘토링 활동지</t>
        </is>
      </c>
    </row>
    <row r="14" ht="205" customHeight="1">
      <c r="A14" s="4" t="inlineStr">
        <is>
          <t>2-2</t>
        </is>
      </c>
      <c r="B14" s="5" t="inlineStr">
        <is>
          <t>나도 입학사정관(서울대 합격생 학생부 평가)</t>
        </is>
      </c>
      <c r="C14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4" s="5" t="inlineStr">
        <is>
          <t>· 평가 사례: 2024 사범대학 교육학과(5조)
· 학업역량: B&gt;A&gt;C — 이유: 성적과 전체적인 학생의 분위기 중 더 나은 순서대로 매김(글씨 흐림)
· 진로역량: C&gt;B&gt;A — 이유: 그 학과와 관련된 활동과 책이 연관됨(글씨 흐림)
· 공동체역량: C&gt;B&gt;A — 이유: 태도가 좋고 친구들과 잘 어울리며 배려함(글씨 흐림)
· 조별 예상 순위: A-C-B / 결과 확인: A-B-C → 불일치
· 느낀 점: '입학사정관은 전체를 보는 걸 느꼈다. 성적만 보지 않고 다양한 것을 본다는 것을 알게 되었다.'
· 배운 점: 활동도 적극적으로 하고 생기부 시나리오를 생각해 나만의 생기부를 만들어야겠다(글씨 흐림)</t>
        </is>
      </c>
      <c r="E14" s="5" t="inlineStr">
        <is>
          <t>희망 진로(교사)와 같은 교육학과 사례를 골라 평가함. '성적만이 아니라 전체를 본다'는 활동 핵심을 정확히 짚음.</t>
        </is>
      </c>
      <c r="F14" s="5" t="inlineStr">
        <is>
          <t>연필 글씨가 흐려 이유·배운 점 일부 판독 어려움(원본 확인 필요)</t>
        </is>
      </c>
    </row>
    <row r="15" ht="234" customHeight="1">
      <c r="A15" s="4" t="inlineStr">
        <is>
          <t>P-1</t>
        </is>
      </c>
      <c r="B15" s="5" t="inlineStr">
        <is>
          <t>진로 프로젝트 1차시: 3종 트랙 탐색·선택 및 8차시 개인 계획서</t>
        </is>
      </c>
      <c r="C15" s="5" t="inlineStr">
        <is>
          <t>주제탐구·진로독서·습관형성 3개 트랙 비교 후 1개 선택, 선택 트랙별 초기 아이디어 구상, 8차시 세부 계획 및 한 줄 다짐·자가 점검</t>
        </is>
      </c>
      <c r="D15" s="5" t="inlineStr">
        <is>
          <t>[선택 트랙] ① 주제탐구
· 선택 이유: '평소 수학에 관심이 있었고 교사라는 직업도 흥미가 있어, 앞으로의 교사는 어떻게 변할지 탐구하고 발표하고 싶어서'
· 관심 분야: 수학교사, 자연계열, 생명과학 분야
· 잠정 주제: '우리가 배운 수학이 일상생활에 미치는 영향'
· 주제 선택 이유: '수학을 한 가지 직업에 연결해서 탐구하기보다 수학 자체를 깊이 탐구해서 조사하는 게 낫다고 생각함'
· 계획: 2차시 공통수학1·2 탐구 사례 찾기 → 3차시 자료 수집 → 4차시 대수·미적분·통계로 확장해 2~3가지 정리 → 5차시 자료 분석·정리 → 6~7차시 PPT 완성·발표 대본
· 다짐: '8차시 동안 정해진 시간 안에 미루지 않고 마무리하겠다' / 자가 점검 3개 모두 체크</t>
        </is>
      </c>
      <c r="E15" s="5" t="inlineStr">
        <is>
          <t>처음엔 '미래 교사의 변화'를 적었다가 '수학 자체 탐구'로 주제를 스스로 좁힘. 차시별 계획이 구체적임.</t>
        </is>
      </c>
      <c r="F15" s="5" t="inlineStr">
        <is>
          <t>탐구 유형(①/②) 미체크</t>
        </is>
      </c>
    </row>
    <row r="16" ht="175" customHeight="1">
      <c r="A16" s="4" t="inlineStr">
        <is>
          <t>P-2</t>
        </is>
      </c>
      <c r="B16" s="5" t="inlineStr">
        <is>
          <t>진로 프로젝트 2차시(주제탐구): 탐구 방법 안내 &amp; 탐구계획서</t>
        </is>
      </c>
      <c r="C16" s="5" t="inlineStr">
        <is>
          <t>통계·기사·논문·기관 사이트 등 자료원 안내, 핵심 탐구 질문과 하위 질문 3개 작성, 활용할 자료원 정리</t>
        </is>
      </c>
      <c r="D16" s="5" t="inlineStr">
        <is>
          <t>[주제탐구] 짝 없음
· 핵심 질문: '우리나라 교육과 다른 나라 교육은 어떤 차이점이 있을까?'
· 하위 ①: 핀란드와 싱가포르의 교육과정은 어떻게 되어 있을까?
· 하위 ②: 특히 수업 방식에는 어떤 차이가 있을까?
· 하위 ③: 순위가 생기는 이유가 교육 방식의 차이 때문인가?
· 자료원: 국가교육과정정보센터, 대한민국 교육부, 관련 기사·논문, OECD PISA</t>
        </is>
      </c>
      <c r="E16" s="5" t="inlineStr">
        <is>
          <t>1차시 잠정 주제('배운 수학이 일상생활에 미치는 영향')에서 국가별 교육 비교로 주제가 바뀜. 교사 진로 관심과는 이어지지만 수학 탐구와는 멀어짐. 주제를 바꾼 이유를 확인해 볼 만함.</t>
        </is>
      </c>
      <c r="F16" s="5" t="inlineStr">
        <is>
          <t>1차시 주제와 다름(변경 이유 확인 필요)</t>
        </is>
      </c>
    </row>
    <row r="17" ht="326" customHeight="1">
      <c r="A17" s="4" t="inlineStr">
        <is>
          <t>P-3</t>
        </is>
      </c>
      <c r="B17" s="5" t="inlineStr">
        <is>
          <t>진로 프로젝트 3차시(주제탐구): 자료 수집</t>
        </is>
      </c>
      <c r="C17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7" s="5" t="inlineStr">
        <is>
          <t>[주제탐구] 자료 4개 + 메모
· ① OECD PISA 2025 결과(제1권) — 핀란드·싱가포르·한국: 각 나라의 학교 교육 시스템, 학습에 대한 태도, 성과 격차 등을 보여줌
· ② NCIC 국가교육과정정보센터 '세계 교육과정 – 싱가포르(2025)': 싱가포르 2025년 교육과정(수학과)을 보여줌
· ③ 교육정책네트워크 정보센터 「핀란드 교육과정 편제와 운영의 특징」: 핀란드만의 교육과정 특징과 교육과정 자율화 등을 소개
· ④ OECD 교육용 GPS 국가별 분석: 도표로 나라별 교육을 더 자세히 보여줌
· 메모: '우리나라 교육과정이 다른 나라의 교육과정과 많이 다르구나를 알았고, 다음 탐구에서는 우리나라와 비교해서 공통점과 차이점을 찾고 싶음'</t>
        </is>
      </c>
      <c r="E17" s="5" t="inlineStr">
        <is>
          <t>2차시 탐구 질문(한국·핀란드·싱가포르 교육 비교)과 정확히 맞는 공신력 있는 자료(OECD, 국가교육과정정보센터)를 골랐고, 다음 탐구 방향까지 메모로 정리함. 1차시 '수학이 일상에 미치는 영향'에서 교육 비교로 바뀐 흐름이 이번 차시에서 자리를 잡음.</t>
        </is>
      </c>
      <c r="F17" s="5" t="inlineStr">
        <is>
          <t>자료 ⑤ 미기재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11204 김지훈)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1-1, 1-7, 1-8, 1학기 최종 활동지만 있음(1-2~1-6 없음). 1-1 활동지 학번란에는 '30208'로 적혀 있음.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136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질문지: 진로를 자신 있게 말할 수 있다 '매우 그렇다' / 꿈을 위해 노력 '매우 그렇다' / 가족과 구체적 대화 '그렇다~보통'(두 칸 표시) / 필요한 공부 알고 노력 '보통' / 상담 경험 '보통'(상대: 기타 '비밀')
· 진로 결정 시 가장 중요: 나의 소질과 적성 / 정보 탐색: 유튜브 / 노력: 틈틈이 정보 수집
· 다섯 글자 다짐: '학교 ○○'를 쓰다 지우고 그 아래에 '개노잼'이라고 적음</t>
        </is>
      </c>
      <c r="E5" s="5" t="inlineStr">
        <is>
          <t>진로 자신감은 '매우 그렇다'로 높게 응답했지만 구체적인 진로 내용은 어디에도 적지 않음. 다짐 칸의 표현과 전반적인 공란으로 보아 수업 참여 의욕이 낮아 보여 개별 확인이 필요함.</t>
        </is>
      </c>
      <c r="F5" s="5" t="inlineStr">
        <is>
          <t>자기소개·진진가 퀴즈, 진로수업에 바라는 것, 약속(★), 깨달은 점 미기재 / 학번 오기(30208)</t>
        </is>
      </c>
    </row>
    <row r="6" ht="80" customHeight="1">
      <c r="A6" s="4" t="inlineStr">
        <is>
          <t>1-7</t>
        </is>
      </c>
      <c r="B6" s="5" t="inlineStr">
        <is>
          <t>희망 학과(전공) 탐색하기</t>
        </is>
      </c>
      <c r="C6" s="5" t="inlineStr">
        <is>
          <t>2인 1조로 같은 학과를 커리어넷·고용24 등에서 탐색해 학과 개요·교육과정·진로 정보 정리</t>
        </is>
      </c>
      <c r="D6" s="5" t="inlineStr">
        <is>
          <t>· 관심 대학 1곳: '용인대학교'만 적음</t>
        </is>
      </c>
      <c r="E6" s="5" t="inlineStr">
        <is>
          <t>탐색 학과를 적지 않고 대학명만 적음. 용인대를 적은 이유(체육·무도 계열 관심 여부 등)를 물어볼 만함.</t>
        </is>
      </c>
      <c r="F6" s="5" t="inlineStr">
        <is>
          <t>탐색 학과, 학과 개요, 연결 포인트, 교육과정, 진로 정보, 다짐 전체 미기재</t>
        </is>
      </c>
    </row>
    <row r="7" ht="80" customHeight="1">
      <c r="A7" s="4" t="inlineStr">
        <is>
          <t>1-8</t>
        </is>
      </c>
      <c r="B7" s="5" t="inlineStr">
        <is>
          <t>나의 대학 진학 설계(대입 전형 유형 분석)</t>
        </is>
      </c>
      <c r="C7" s="5" t="inlineStr">
        <is>
          <t>조별 사전 연습(동국대 수학과 전형 분석), 전형 유형별 나의 경쟁력 별점, 희망 대학 2028 시행계획 보고 수시·정시 전형 1개씩 선택</t>
        </is>
      </c>
      <c r="D7" s="5" t="inlineStr">
        <is>
          <t>· 활동지가 모두 비어 있음(학번·이름만 작성)</t>
        </is>
      </c>
      <c r="E7" s="5" t="n"/>
      <c r="F7" s="5" t="inlineStr">
        <is>
          <t>사전 연습 표, 경쟁력 별점, 도전 전형 전체 미기재</t>
        </is>
      </c>
    </row>
    <row r="8" ht="80" customHeight="1">
      <c r="A8" s="4" t="inlineStr">
        <is>
          <t>1학기 최종</t>
        </is>
      </c>
      <c r="B8" s="5" t="inlineStr">
        <is>
          <t>1학기 진로수업 마무리 활동지(진로 점검 &amp; 과목 선택 최종 설계)</t>
        </is>
      </c>
      <c r="C8" s="5" t="inlineStr">
        <is>
          <t>5·7·8차시 돌아보기, 1학기 마무리 기준 최종 진로 목표, 2·3학년 과목 선택 설계, 대입 전형 연계, 2학기 다짐</t>
        </is>
      </c>
      <c r="D8" s="5" t="inlineStr">
        <is>
          <t>· 활동지가 모두 비어 있음(학번·이름만 작성)</t>
        </is>
      </c>
      <c r="E8" s="5" t="inlineStr">
        <is>
          <t>1학기 최종 진로 목표가 기록되어 있지 않음. P-1에서도 트랙에 동그라미만 표시해 두 학기 연속 기록이 거의 없음.</t>
        </is>
      </c>
      <c r="F8" s="5" t="inlineStr">
        <is>
          <t>돌아보기, 최종 진로 목표, 과목 선택 설계, 대입 전형 연계, 2학기 다짐 전체 미기재</t>
        </is>
      </c>
    </row>
    <row r="9" ht="170" customHeight="1">
      <c r="A9" s="4" t="inlineStr">
        <is>
          <t>2-2</t>
        </is>
      </c>
      <c r="B9" s="5" t="inlineStr">
        <is>
          <t>나도 입학사정관(서울대 합격생 학생부 평가)</t>
        </is>
      </c>
      <c r="C9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9" s="5" t="inlineStr">
        <is>
          <t>· 평가 사례: 2025학년도(선택 학과 미기재)
· 학업역량: A&gt;C&gt;B — 이유: '과학의 점수가 높은 순으로 썼다'
· 진로역량: B&gt;C&gt;A — 이유 미기재
· 공동체역량: C&gt;A&gt;B — 이유 미기재
· 조별 예상 순위: C-B-A / 결과 확인: C-B-A → 일치
· 느낀 점: '행복은 성적순.'
· 배운 점: '다양한 게 중요하다.'</t>
        </is>
      </c>
      <c r="E9" s="5" t="inlineStr">
        <is>
          <t>조별 예상과 결과가 일치함. 느낀 점('행복은 성적순')과 배운 점('다양한 게 중요하다')이 서로 엇갈려, 어떤 뜻인지 물어볼 만함.</t>
        </is>
      </c>
      <c r="F9" s="5" t="inlineStr">
        <is>
          <t>선택 학과 미기재 / 진로·공동체 이유 미기재</t>
        </is>
      </c>
    </row>
    <row r="10" ht="80" customHeight="1">
      <c r="A10" s="4" t="inlineStr">
        <is>
          <t>P-1</t>
        </is>
      </c>
      <c r="B10" s="5" t="inlineStr">
        <is>
          <t>진로 프로젝트 1차시: 3종 트랙 탐색·선택 및 8차시 개인 계획서</t>
        </is>
      </c>
      <c r="C10" s="5" t="inlineStr">
        <is>
          <t>주제탐구·진로독서·습관형성 3개 트랙 비교 후 1개 선택, 선택 트랙별 초기 아이디어 구상, 8차시 세부 계획 및 한 줄 다짐·자가 점검</t>
        </is>
      </c>
      <c r="D10" s="5" t="inlineStr">
        <is>
          <t>[선택 트랙] ① 주제탐구(동그라미 표시만)
· 트랙 비교표에서 '주제탐구 프로젝트'에 동그라미만 표시함. 그 밖의 칸은 모두 비어 있음.</t>
        </is>
      </c>
      <c r="E10" s="5" t="inlineStr">
        <is>
          <t>활동지가 거의 비어 있음. 트랙 선택 의사와 주제를 개별로 확인해야 함.</t>
        </is>
      </c>
      <c r="F10" s="5" t="inlineStr">
        <is>
          <t>최종 트랙 체크·선택 이유·관심 분야·잠정 주제·8차시 계획·다짐 전체 미기재</t>
        </is>
      </c>
    </row>
    <row r="11" ht="150" customHeight="1">
      <c r="A11" s="4" t="inlineStr">
        <is>
          <t>P-2</t>
        </is>
      </c>
      <c r="B11" s="5" t="inlineStr">
        <is>
          <t>진로 프로젝트 2차시(주제탐구): 탐구 방법 안내 &amp; 탐구계획서</t>
        </is>
      </c>
      <c r="C11" s="5" t="inlineStr">
        <is>
          <t>통계·기사·논문·기관 사이트 등 자료원 안내, 핵심 탐구 질문과 하위 질문 3개 작성, 활용할 자료원 정리</t>
        </is>
      </c>
      <c r="D11" s="5" t="inlineStr">
        <is>
          <t>[주제탐구] 11206 박상욱과 공동
· 핵심 질문: '우리나라의 스포츠과학부가 있는 학교와 각 차이점'
· 여백 메모: 한양대, 인천대, 수원대, 성균관대
· 하위 질문 ①~③, 활용할 자료원: 미기재</t>
        </is>
      </c>
      <c r="E11" s="5" t="inlineStr">
        <is>
          <t>1차시에 비어 있던 주제가 스포츠과학 계열 대학 비교로 정해짐(박상욱과 같은 내용). 질문이라기보다 조사 목록에 가까워 하위 질문을 세우는 단계에서 도움이 필요함.</t>
        </is>
      </c>
      <c r="F11" s="5" t="inlineStr">
        <is>
          <t>하위 질문 ①~③, 활용할 자료원 미기재</t>
        </is>
      </c>
    </row>
    <row r="12" ht="122" customHeight="1">
      <c r="A12" s="4" t="inlineStr">
        <is>
          <t>P-3</t>
        </is>
      </c>
      <c r="B12" s="5" t="inlineStr">
        <is>
          <t>진로 프로젝트 3차시(주제탐구): 자료 수집</t>
        </is>
      </c>
      <c r="C12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2" s="5" t="inlineStr">
        <is>
          <t>[주제탐구] 자료 수집 양식이지만 학번·이름 외에 아무것도 적지 않음(전체 빈칸)</t>
        </is>
      </c>
      <c r="E12" s="5" t="inlineStr">
        <is>
          <t>1차시 계획서도 대부분 비어 있었고, 2차시엔 핵심 질문만 적음. 3차시까지 이어서 작성량이 거의 없어 프로젝트 진행을 개별로 확인할 필요가 있음. 짝(박상욱)과 공동 주제(스포츠과학부 대학 비교)임.</t>
        </is>
      </c>
      <c r="F12" s="5" t="inlineStr">
        <is>
          <t>자료 출처·핵심 내용 요약 ①~⑤, 나의 생각/메모 전체 미기재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11205 김하윤)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192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노는 걸 좋아한다, 남매이다, 방학 때 빨간 머리였다, 공부를 못한다, 시력이 좋다 등 6개 작성
· 질문지: 진로를 자신 있게 말할 수 있다·꿈을 위해 노력·가족과 구체적 대화 모두 '매우 그렇다' / 필요한 공부 알고 노력·상담 경험 '보통'(상대: 학원 강사, 부모·친척)
· 진로 결정 시 가장 중요: 나의 소질과 적성 / 정보 탐색: 인터넷
· 진로를 위한 노력: 기타 — '진로를 위해 지금 학원을 다니며 열심히 준비하고 있다' / 어려운 점: '어려운 점 없음'
· 약속: 5개 모두 체크 — '나의 미래를 위해서'</t>
        </is>
      </c>
      <c r="E5" s="5" t="inlineStr">
        <is>
          <t>학기 초부터 진로 확신이 높고 가족과도 진로 이야기를 많이 나눈다고 응답함. 학원(미용)을 다니며 이미 준비 중.</t>
        </is>
      </c>
      <c r="F5" s="5" t="inlineStr">
        <is>
          <t>진진가 퀴즈 정답·선생님께 인사, 깨달은 점, 다섯 글자 다짐 미기재</t>
        </is>
      </c>
    </row>
    <row r="6" ht="136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 / 정시: 수능
· 내신 5등급제, 1등급 상위 10%, 지필+수행, 수행평가 비중 높음 / 졸업 192학점, 2학년부터 진로에 맞게 과목 선택, 1학년 여름방학 전 진로 정하기
· 창체: 자율, 동아리 / 행동특성·종합의견 / 2028 수능: 공통, 통합사회·통합과학, 내신·생기부 반영 / 역전, 주도성</t>
        </is>
      </c>
      <c r="E6" s="5" t="inlineStr">
        <is>
          <t>대부분 정확하게 채움.</t>
        </is>
      </c>
      <c r="F6" s="5" t="inlineStr">
        <is>
          <t>4번 세특 관련 2문항, 8번 '활동 후 나의 다짐' 미기재</t>
        </is>
      </c>
    </row>
    <row r="7" ht="66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 — 답만 적음(계산식 없음)</t>
        </is>
      </c>
      <c r="E7" s="5" t="inlineStr">
        <is>
          <t>등급 인원 칸만 채우고 나머지는 비어 있음.</t>
        </is>
      </c>
      <c r="F7" s="5" t="inlineStr">
        <is>
          <t>3번 변수 문항, 4번 느낀 점·목표 점수·시험 계획 전체 미기재</t>
        </is>
      </c>
    </row>
    <row r="8" ht="150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①원만성(넬슨 만델라 / 국제통상 전문가·외교관·인사 전문가) ②성취지향성(아이디어 컨설턴트·투자분석가 등) ③긍정성(프랭클린 루스벨트 / 창업투자 전문가·벤처투자자·홍보 전문가)
· 핵심 강점 '긍정적' 연관어: 웃음, 행복
· 희망 전공: 사회·심리, 미술·디자인, 의료 / 추천 전공: 무용·체육, 간호·보건, 유아·특수교육 / 가장 선호 계열: 예체능
· 선호 직무 유형: 예술가 / 직업 가치: 경제적 풍족 &gt; 안정성 &gt; 사회적 인정</t>
        </is>
      </c>
      <c r="E8" s="5" t="inlineStr">
        <is>
          <t>희망 전공과 추천 전공이 하나도 겹치지 않지만, 선호 계열(예체능)과 직무 유형(예술가)은 미용 진로와 맞음.</t>
        </is>
      </c>
      <c r="F8" s="5" t="inlineStr">
        <is>
          <t>강점 강화 방안, 일치 여부 서술 미기재</t>
        </is>
      </c>
    </row>
    <row r="9" ht="66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직업 1개만 작성: 미용사 — 하는 일 '사람 머리 해주기', 필요 능력 '기술', 관련 학과 '미용학과'</t>
        </is>
      </c>
      <c r="E9" s="5" t="inlineStr">
        <is>
          <t>진로가 미용사로 확고해서 다른 직업을 비교하지 않은 것으로 보임.</t>
        </is>
      </c>
      <c r="F9" s="5" t="inlineStr">
        <is>
          <t>나머지 직업 3개, 토너먼트, 가치관 비교, 미래 명함 미기재</t>
        </is>
      </c>
    </row>
    <row r="10" ht="206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미용과 / 관심 대학: 정화예대(정화예술대학교)
· 학과 개요: '미용과는 헤어·메이크업·피부 등에 대해 실용적인 면과 이론적인 면을 연구하는 학과. 미용 관련 학과에는 피부, 네일, 메이크업, 헤어 등이 있다'
· 연결 포인트: '내가 직접 만든 작품을 보고 성취감을 느낌 → 미용과'
· 고교 과목: 영어, 화학 / 대학 교과목: 미용학개론 / 자격증: 미용사, 피부·메이크업 등 / 진출: 미용실
· 노력할 것: '미용학원을 다니며 자격증 준비·취득을 하고 많은 실습(대회 포함)을 통해 경험·경력을 쌓는다'</t>
        </is>
      </c>
      <c r="E10" s="5" t="inlineStr">
        <is>
          <t>미용 진로와 일관됨. 실습·대회 등 실기 중심 준비 계획이 뚜렷함.</t>
        </is>
      </c>
      <c r="F10" s="5" t="inlineStr">
        <is>
          <t>학과 전망 미기재</t>
        </is>
      </c>
    </row>
    <row r="11" ht="80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일부 작성: 학생부종합(1단계 서류 100%, 2단계 면접 40%+1단계 60%), 논술(학생부 30%+논술 70%), 정시(수능 80%+학생부평가 20%)</t>
        </is>
      </c>
      <c r="E11" s="5" t="n"/>
      <c r="F11" s="5" t="inlineStr">
        <is>
          <t>반영 교과 표, 2번 step1·step2 미기재</t>
        </is>
      </c>
    </row>
    <row r="12" ht="108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'미용사' 그대로 유지 / 7차시 '미용학과(헤어디자인과)' 그대로 유지
· 최종 목표: 예체능 계열 / 미용사 / 미용(헤어)학과
· 대입: 수시 실기/실적, 정시 실기/실적
· 2학기 다짐: '성적 챙기기.'</t>
        </is>
      </c>
      <c r="E12" s="5" t="inlineStr">
        <is>
          <t>1학기 내내 미용사(헤어)로 진로가 확고함. 실기 전형을 선택했고 다짐은 '성적 챙기기'로 내신도 의식하고 있음. P-1 습관형성 트랙(매일 미용 연습)과 이어짐.</t>
        </is>
      </c>
      <c r="F12" s="5" t="inlineStr">
        <is>
          <t>8차시 목표 대학, 바뀐/유지 이유, 목표 대학, 과목 선택 설계, 2학기 집중 과제 미기재</t>
        </is>
      </c>
    </row>
    <row r="13" ht="170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2025 공과대학 컴퓨터공학부(1조)
· 학업역량: C&gt;B&gt;A — 이유: '등급이 다 1등급이기 때문이다'
· 진로역량: B&gt;C&gt;A — 이유 미기재
· 공동체역량: B&gt;C&gt;A — 이유 미기재
· 조별 예상 순위: B-C-A / 결과 확인: C-A-B → 불일치
· 느낀 점: '성적이 이렇게 나올 수 있다는 것에 놀랐다.'
· 배운 점: '나도 공부를 열심히 해야겠다.'</t>
        </is>
      </c>
      <c r="E13" s="5" t="inlineStr">
        <is>
          <t>학업역량을 등급만으로 판단함. 합격생 성적을 보고 놀랐다는 반응이 솔직하게 드러남.</t>
        </is>
      </c>
      <c r="F13" s="5" t="inlineStr">
        <is>
          <t>진로·공동체 이유 미기재</t>
        </is>
      </c>
    </row>
    <row r="14" ht="150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③ 습관형성
· 선택 이유: '스스로 얼마나 성장할 수 있을지 나 자신이 궁금해서. 자기진단을 하고 싶다'
· 닮고 싶은 사람과 습관: '유명 헤어 디자이너처럼 꾸준히 연습하고 새로운 기술을 배우는 습관'
· 습관이 중요한 이유: '미용사는 손재주나 감각을 꾸준히 발전시켜야 하므로 매일 연습하는 습관이 중요하다고 생각'
· 개선하고 싶은 습관: '미용 연습을 미루는 습관을 고치고, 매일 조금씩 꾸준히 성실하게 연습하기'</t>
        </is>
      </c>
      <c r="E14" s="5" t="inlineStr">
        <is>
          <t>헤어 디자이너(미용) 진로를 습관형성 트랙과 잘 연결함. 미용 연습을 미루는 습관을 스스로 짚음.</t>
        </is>
      </c>
      <c r="F14" s="5" t="inlineStr">
        <is>
          <t>8차시 계획·다짐·자가 점검 미기재</t>
        </is>
      </c>
    </row>
    <row r="15" ht="190" customHeight="1">
      <c r="A15" s="4" t="inlineStr">
        <is>
          <t>P-2</t>
        </is>
      </c>
      <c r="B15" s="5" t="inlineStr">
        <is>
          <t>진로 프로젝트 2차시(습관형성): 나를 돌아보고, 목표 세우기(원인분석+목표설정)</t>
        </is>
      </c>
      <c r="C15" s="5" t="inlineStr">
        <is>
          <t>최근 목표·계획 돌아보기와 자기 평가, 장애물·개선방안 분석, SMART 기법으로 습관 목표 구체화, 인증 방법·최종 습관 목표 정하기</t>
        </is>
      </c>
      <c r="D15" s="5" t="inlineStr">
        <is>
          <t>[습관형성] 짝 없음
· 최근 목표: 11월에 대회에 나가서 대상 이상으로 상 타기 / 계획: 학원에서 시간 날 때 연습하기
· 자기 평가: 목표 달성 '만족', 계획 실행 '만족' — '나름 열심히 연습한다고 생각하기 때문에'
· 장애물·개선: ① 디자인이 너무 어렵다 → 꾸준히 연습하기 ② 시간 내기가 어렵다 → 혼자 시간을 재면서 연습하기
· SMART 목표: '시간 내에 완성하기'만 적음(S·M·A·R·T 칸 비어 있음)
· 인증 방법: 사진 촬영으로 인증</t>
        </is>
      </c>
      <c r="E15" s="5" t="inlineStr">
        <is>
          <t>1차시 '헤어 디자이너처럼 매일 미용 연습하는 습관'과 이어짐. 11월 대회라는 구체적인 목표가 있음. SMART 칸을 채우지 않아 '시간 내 완성'을 연습 횟수·시간 같은 측정 가능한 목표로 바꾸도록 도울 필요가 있음.</t>
        </is>
      </c>
      <c r="F15" s="5" t="inlineStr">
        <is>
          <t>SMART 세부 칸(S·M·A·R·T), 최종 확인 방법, 6번 최종 습관 목표 미기재</t>
        </is>
      </c>
    </row>
    <row r="16" ht="250" customHeight="1">
      <c r="A16" s="4" t="inlineStr">
        <is>
          <t>P-3</t>
        </is>
      </c>
      <c r="B16" s="5" t="inlineStr">
        <is>
          <t>진로 프로젝트 3차시(습관형성): 습관 실천 — 1주차 습관 기록표</t>
        </is>
      </c>
      <c r="C16" s="5" t="inlineStr">
        <is>
          <t>이번 주 목표와 확인(인증) 방법 정하기, 요일별 실천 내용·실천/인증 체크·오늘의 한 줄 기록, 실천 일수와 한 주 소감 작성</t>
        </is>
      </c>
      <c r="D16" s="5" t="inlineStr">
        <is>
          <t>[습관형성] 1주차 습관 기록표
· 이번 주 목표: '열심히 하기'(첫 글자 판독 어려움) / 확인(인증) 방법: 사진 기록
· 요일별 실천 내용·오늘의 한 줄은 모두 비어 있고, 실천 칸의 ○ 표시만 덧그림(실천 여부 체크 안 됨)
· 이번 주 실천 일수: 0일 / 7일
· 느낀 점: '다음 주에는 적어도 일주일에 4번은 연습하고 사진으로 기록하겠습니다.'</t>
        </is>
      </c>
      <c r="E16" s="5" t="inlineStr">
        <is>
          <t>실천 일수를 0일로 솔직하게 적고 다음 주 목표를 '주 4회 연습 + 사진 기록'으로 구체화함. 이번 주 목표가 '열심히 하기'로 막연해서, 2차시에 비워 둔 SMART 목표(측정 가능한 횟수·시간)와 연결해 다시 잡도록 도울 필요가 있음.</t>
        </is>
      </c>
      <c r="F16" s="5" t="inlineStr">
        <is>
          <t>요일별 실천 내용·오늘의 한 줄 미기재 / 이번 주 목표 첫 글자 판독 어려움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11206 박상욱)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1-6, 1-7차시 활동지가 포함되어 있지 않음. 1-1·1-3·1-4 활동지는 학번·이름이 비어 있으나 개인 파일에 들어 있어 이 학생 것으로 정리함.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192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목표가 있다, 아이돌을 좋아한다, 누나가 있다, 축구를 좋아한다 등
· 질문지: 진로를 자신 있게 말할 수 있다 '보통' / 꿈을 위해 노력 '보통' / 가족과 구체적 대화 '매우 그렇다' / 필요한 공부 알고 노력·상담 경험 '매우 그렇다'로 보임(체크를 여러 번 고침) / 상담 상대: 교사, 부모·친척
· 진로 결정 시 중요: 학업 성적 / 정보 탐색: 유튜브, 진로 상담 / 노력: 다양한 진로 체험 활동
· 진로수업에 바라는 것: '없음'
· 약속: ★존중 — '친구의 생각도 중요해서' / 깨달은 점: '진로에 도움 된다' / 다섯 글자 다짐: '공 ○ 기 ○ ○'(판독 어려움)</t>
        </is>
      </c>
      <c r="E5" s="5" t="inlineStr">
        <is>
          <t>질문지 체크를 여러 번 고쳐서 정확한 응답을 알기 어려움.</t>
        </is>
      </c>
      <c r="F5" s="5" t="inlineStr">
        <is>
          <t>진진가 퀴즈 정답·인사 미기재 / 다섯 글자 다짐 판독 어려움</t>
        </is>
      </c>
    </row>
    <row r="6" ht="178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최저학력 / 정시: 수능
· 내신 5등급제, 1등급 상위 10%, 수행+지필, 수행평가 비중 높음 / 졸업 192학점, 2학년부터 희망 진로에 맞게 과목 선택, 1학년 여름방학 전 진로 정하기
· 학종 정성평가 대상: 과정 / 세특 = 세부능력 및 특기사항, 태도: '수업에 적극적으로 참여(과제 성실 수행)'
· 창체: 자율, 동아리 / 행동특성 및 종합의견 / 2028 수능: 공통, 통합사회·통합과학, 내신·생기부 반영 / 역전, 주도성</t>
        </is>
      </c>
      <c r="E6" s="5" t="inlineStr">
        <is>
          <t>빈칸을 거의 정확하게 채움.</t>
        </is>
      </c>
      <c r="F6" s="5" t="inlineStr">
        <is>
          <t>8번 '활동 후 나의 다짐' 미기재</t>
        </is>
      </c>
    </row>
    <row r="7" ht="94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 — 계산식과 함께 작성
· 목표 점수: 공통수학 100점
· 시험 계획: 4/13 공통수학 칸에 '복습 수학 수학'만 적고 나머지는 스티커로 꾸밈</t>
        </is>
      </c>
      <c r="E7" s="5" t="inlineStr">
        <is>
          <t>공통수학 목표를 100점으로 높게 잡았지만 계획은 거의 없음.</t>
        </is>
      </c>
      <c r="F7" s="5" t="inlineStr">
        <is>
          <t>3번 변수 문항, 4번 느낀 점, 공통수학 외 목표·계획 미기재 / 학번·이름 공란</t>
        </is>
      </c>
    </row>
    <row r="8" ht="164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①감사(소크라테스 / 사회복지사 등) ②창의성(장영실 / 웹툰 작가) ③성취지향성(권기옥 / 아이디어 컨설턴트)
· 핵심 강점 '창의성' 연관어: 발명, 창의적, 장영실, 웹툰 작가, 아이디어, 지식, 기술, 경험 / 강화 방안: '많은 걸 만들기'
· 희망 전공: 무용·체육, 간호·보건, 유아·특수교육 / 추천 전공: 농림·축산, 수학·물리, 사회·철학 / 가장 선호 계열: '희망 전공 무용·체육'
· 직업 가치 칸에 '예체능, 공학계열, 교육계열'을 적음</t>
        </is>
      </c>
      <c r="E8" s="5" t="inlineStr">
        <is>
          <t>희망 전공(무용·체육)과 추천 전공이 하나도 겹치지 않음. 직업 가치 칸에 계열명을 적어 문항 취지를 잘못 이해한 것으로 보임.</t>
        </is>
      </c>
      <c r="F8" s="5" t="inlineStr">
        <is>
          <t>일치 여부 서술, 선호 직무 유형 미기재 / 학번·이름 공란</t>
        </is>
      </c>
    </row>
    <row r="9" ht="94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축구 트레이너(선수들의 체력·기술·전술 훈련, 경기력 향상 지도 / 운동지식, 부상 예방 및 재활 이해, 맞춤형 지도 능력 / 체육학과 또는 스포츠과학과), 생물 연구원, 축구 의료진, 축구 코치
· 축구 트레이너만 정보를 채움</t>
        </is>
      </c>
      <c r="E9" s="5" t="inlineStr">
        <is>
          <t>관심 직업 4개 중 3개가 축구 관련으로, 축구 쪽 진로가 뚜렷함.</t>
        </is>
      </c>
      <c r="F9" s="5" t="inlineStr">
        <is>
          <t>나머지 3개 직업 정보, 토너먼트, 가치관 비교, 미래 명함 미기재</t>
        </is>
      </c>
    </row>
    <row r="10" ht="94" customHeight="1">
      <c r="A10" s="4" t="inlineStr">
        <is>
          <t>1-8</t>
        </is>
      </c>
      <c r="B10" s="5" t="inlineStr">
        <is>
          <t>나의 대학 진학 설계(대입 전형 유형 분석)</t>
        </is>
      </c>
      <c r="C10" s="5" t="inlineStr">
        <is>
          <t>조별 사전 연습(동국대 수학과 전형 분석), 전형 유형별 나의 경쟁력 별점, 희망 대학 2028 시행계획 보고 수시·정시 전형 1개씩 선택</t>
        </is>
      </c>
      <c r="D10" s="5" t="inlineStr">
        <is>
          <t>· 사전 연습(동국대 수학과) 표 작성: 학생부교과 4명(교과 70%+서류 30%), 학생부종합 9명(1단계 서류 100%, 2단계 면접 40%+1단계 60%), 논술 5명(학생부 30%·교과 20%·출결 10%, 최저 있음), 정시 9명(수능 80%+학생부평가 20%)</t>
        </is>
      </c>
      <c r="E10" s="5" t="n"/>
      <c r="F10" s="5" t="inlineStr">
        <is>
          <t>반영 교과 표, 2번 step1·step2 미기재</t>
        </is>
      </c>
    </row>
    <row r="11" ht="234" customHeight="1">
      <c r="A11" s="4" t="inlineStr">
        <is>
          <t>1학기 최종</t>
        </is>
      </c>
      <c r="B11" s="5" t="inlineStr">
        <is>
          <t>1학기 진로수업 마무리 활동지(진로 점검 &amp; 과목 선택 최종 설계)</t>
        </is>
      </c>
      <c r="C11" s="5" t="inlineStr">
        <is>
          <t>5·7·8차시 돌아보기, 1학기 마무리 기준 최종 진로 목표, 2·3학년 과목 선택 설계, 대입 전형 연계, 2학기 다짐</t>
        </is>
      </c>
      <c r="D11" s="5" t="inlineStr">
        <is>
          <t>· 돌아보기: 5차시 '축구 트레이너'·7차시 '스포츠과학부'·8차시 '한양대 에리카' 모두 그대로 유지 — 이유 '이 직업과 대학을 가려고 공부하고 마음이 여기에 생김'
· 최종 목표: 예체능 / 축구 트레이너 / 스포츠과학부 / 한양대 에리카
· 과목 선택: 영어 — 세계문화와 영어 / 사회 — 한국지리 탐구, 세계시민과 지리, 현대사회와 윤리 / 과학(선수들의 몸의 이상과 성장을 도우려고) — 화학, 지구과학, 세포와 물질대사, 생명과학, 물리학 / 기타 — 중국어, 일본어
· 대입: 수시 실기/실적, 정시 실기/실적 / 2학기 집중 과제: '성적 관리, 내신 올리고 관리, 출결 관리'
· 2학기 다짐: '성적 올리고 관리하고 출결을 관리하겠다'</t>
        </is>
      </c>
      <c r="E11" s="5" t="inlineStr">
        <is>
          <t>축구 트레이너로 진로가 일관되고, 선수 몸 관리와 과학 과목을 연결한 점이 좋음. P-1 계획서는 트랙만 고르고 비어 있어 1학기 최종과 차이가 큼.</t>
        </is>
      </c>
      <c r="F11" s="5" t="inlineStr">
        <is>
          <t>국어·수학 과목 설계 미기재</t>
        </is>
      </c>
    </row>
    <row r="12" ht="174" customHeight="1">
      <c r="A12" s="4" t="inlineStr">
        <is>
          <t>2-2</t>
        </is>
      </c>
      <c r="B12" s="5" t="inlineStr">
        <is>
          <t>나도 입학사정관(서울대 합격생 학생부 평가)</t>
        </is>
      </c>
      <c r="C12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2" s="5" t="inlineStr">
        <is>
          <t>· 평가 사례: 2024 공과대학 조선해양공학과(4조)
· 학업역량: C&gt;A&gt;B — 이유 미기재
· 진로역량: 1순위 칸에 표시만(판독 어려움) — 이유 미기재
· 공동체역량: 미기재 — 이유 미기재
· 조별 예상 순위: C-A-B / 결과 확인: C-A-B → 일치
· 느낀 점: '성적을 보고 성취도·역량을 보는 대학교 면접관(시험)으로 눈에 띄는 성적과 빈틈없음…'(일부 판독 어려움)
· 배운 점: '생기부랑 성적을 면접관 눈에 띄게 만들자.'</t>
        </is>
      </c>
      <c r="E12" s="5" t="inlineStr">
        <is>
          <t>조별 예상과 결과가 일치함. 개별 평가는 학업역량 순위만 적고 나머지는 거의 비움.</t>
        </is>
      </c>
      <c r="F12" s="5" t="inlineStr">
        <is>
          <t>이름 미기재 / 진로·공동체 순위, 3개 역량 이유 미기재</t>
        </is>
      </c>
    </row>
    <row r="13" ht="80" customHeight="1">
      <c r="A13" s="4" t="inlineStr">
        <is>
          <t>P-1</t>
        </is>
      </c>
      <c r="B13" s="5" t="inlineStr">
        <is>
          <t>진로 프로젝트 1차시: 3종 트랙 탐색·선택 및 8차시 개인 계획서</t>
        </is>
      </c>
      <c r="C13" s="5" t="inlineStr">
        <is>
          <t>주제탐구·진로독서·습관형성 3개 트랙 비교 후 1개 선택, 선택 트랙별 초기 아이디어 구상, 8차시 세부 계획 및 한 줄 다짐·자가 점검</t>
        </is>
      </c>
      <c r="D13" s="5" t="inlineStr">
        <is>
          <t>[선택 트랙] ① 주제탐구
· 최종 트랙 ① 주제탐구에 체크(비교표에도 동그라미). 그 밖의 칸은 모두 비어 있음.</t>
        </is>
      </c>
      <c r="E13" s="5" t="inlineStr">
        <is>
          <t>트랙만 고르고 이후 내용은 작성하지 않음. 주제 구상을 도와줄 필요가 있음.</t>
        </is>
      </c>
      <c r="F13" s="5" t="inlineStr">
        <is>
          <t>선택 이유·관심 분야·잠정 주제·8차시 계획·다짐 미기재</t>
        </is>
      </c>
    </row>
    <row r="14" ht="150" customHeight="1">
      <c r="A14" s="4" t="inlineStr">
        <is>
          <t>P-2</t>
        </is>
      </c>
      <c r="B14" s="5" t="inlineStr">
        <is>
          <t>진로 프로젝트 2차시(주제탐구): 탐구 방법 안내 &amp; 탐구계획서</t>
        </is>
      </c>
      <c r="C14" s="5" t="inlineStr">
        <is>
          <t>통계·기사·논문·기관 사이트 등 자료원 안내, 핵심 탐구 질문과 하위 질문 3개 작성, 활용할 자료원 정리</t>
        </is>
      </c>
      <c r="D14" s="5" t="inlineStr">
        <is>
          <t>[주제탐구] 11204 김지훈과 공동(학번란에 '11206, 11204' 함께 기재)
· 핵심 질문: '우리나라의 스포츠과학부가 있는 학교와 각 차이점'
· 여백 메모: 한양대 에리카, 인천대, 수원대, 성균관대
· 하위 질문 ①~③, 활용할 자료원: 미기재</t>
        </is>
      </c>
      <c r="E14" s="5" t="inlineStr">
        <is>
          <t>1차시에 주제·이유가 모두 비어 있었는데 2차시에 김지훈과 공동 주제를 정함. 김지훈 활동지와 내용이 같음. 하위 질문 작성을 도와줄 필요가 있음.</t>
        </is>
      </c>
      <c r="F14" s="5" t="inlineStr">
        <is>
          <t>하위 질문 ①~③, 활용할 자료원 미기재</t>
        </is>
      </c>
    </row>
    <row r="15" ht="206" customHeight="1">
      <c r="A15" s="4" t="inlineStr">
        <is>
          <t>P-3</t>
        </is>
      </c>
      <c r="B15" s="5" t="inlineStr">
        <is>
          <t>진로 프로젝트 3차시(주제탐구): 자료 수집</t>
        </is>
      </c>
      <c r="C15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5" s="5" t="inlineStr">
        <is>
          <t>[주제탐구] 자료 2개(요약 짧음)
· ① '대한민국 체대입시의 표준'(학원·입시 사이트로 보임): 모집인원 30명, 경쟁률 6.62:1, 수능 70%·실기 30%
· ③ '분당체대입시': 모집인원 45명
· 자료 ②·④·⑤ 칸은 비어 있고, 자료와 요약 칸을 괄호로 묶어 표시만 해 둠</t>
        </is>
      </c>
      <c r="E15" s="5" t="inlineStr">
        <is>
          <t>2차시 탐구 질문(스포츠과학부가 있는 대학 비교)에 맞춰 입시 수치를 모으기 시작했으나, 어느 대학의 수치인지 대학명이 빠져 있고 출처가 체대입시 학원 자료로 보임. 대학 입학처·대입정보포털(어디가) 같은 공식 자료로 보완하도록 안내 필요.</t>
        </is>
      </c>
      <c r="F15" s="5" t="inlineStr">
        <is>
          <t>자료 ②·④·⑤, 나의 생각/메모 미기재 / 요약에 대학명 없음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11207 박소은)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1-3, 1-6차시 활동지가 포함되어 있지 않음. 1학기 최종 활동지는 학번·이름이 비어 있으나 개인 파일에 들어 있어 이 학생 것으로 정리함.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62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진진가 퀴즈 정답: 2, 2
· 자기소개 문제: 외동이다, 고양이를 좋아한다, 특성화고 진학을 생각했었다, 영화를 좋아한다, 반려동물을 키운다, 희망 직업을 정했다
· 질문지: 진로를 자신 있게 말할 수 있다 '매우 그렇지 않다' / 꿈을 위해 노력 '그렇지 않다' / 가족과 대화 '보통' / 필요한 공부 알고 노력·상담 경험 '그렇지 않다' / 상담 상대: 교사, 부모·친척
· 진로 결정 시 중요: 나의 소질과 적성, 학업 성적 / 정보 탐색: 인터넷, 관련 서적
· 어려운 점: 나의 특성을 몰라서, 부모님과 의견이 달라서
· 진로수업에 바라는 것: '각 직업의 장단점 탐구(자세히)'
· 약속: ★연결 — '진로 시간인 만큼 자신의 진로와 연결시켜 자유로운 활동이 더 흥미롭고 오래 갈 것 같다' / 다섯 글자 다짐: '제대로 살자'</t>
        </is>
      </c>
      <c r="E5" s="5" t="inlineStr">
        <is>
          <t>학기 초 진로 자신감이 반에서 가장 낮은 편('매우 그렇지 않다')이고, 어려운 점으로 '부모님과 의견이 달라서'를 체크함.</t>
        </is>
      </c>
      <c r="F5" s="5" t="inlineStr">
        <is>
          <t>깨달은 점 미기재</t>
        </is>
      </c>
    </row>
    <row r="6" ht="150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 / 정시: 수능
· 내신 5등급제, 1등급 상위 10%, 지필+수행, 수행평가 비중 높음 / 졸업 192학점, 2학년부터 희망 진로에 맞게, 1학년 여름방학 전 진로 정하기
· 세특 = 세부능력 및 특기사항, 태도: '수업 적극 참여, 수행, 탐구, 발표 등'
· 창체: 자율, 동아리 / 행동특성 및 종합의견 / 2028 수능: 공통, 통합사회·통합과학 / 역전, 주도성</t>
        </is>
      </c>
      <c r="E6" s="5" t="inlineStr">
        <is>
          <t>대부분 정확하게 채움.</t>
        </is>
      </c>
      <c r="F6" s="5" t="inlineStr">
        <is>
          <t>6번 마지막 문항, 8번 '활동 후 나의 다짐' 미기재</t>
        </is>
      </c>
    </row>
    <row r="7" ht="206" customHeight="1">
      <c r="A7" s="4" t="inlineStr">
        <is>
          <t>1-4</t>
        </is>
      </c>
      <c r="B7" s="5" t="inlineStr">
        <is>
          <t>자기 이해 검사 종합하기</t>
        </is>
      </c>
      <c r="C7" s="5" t="inlineStr">
        <is>
          <t>POWER UP 강점진로검사(강점·핵심 강점 강화), MIT 전공흥미검사(희망 vs 추천 전공 비교), 선호 직무 유형·직업 가치</t>
        </is>
      </c>
      <c r="D7" s="5" t="inlineStr">
        <is>
          <t>· 강점: ①개방성(파블로 피카소 / 융합형 디자이너·글로벌 홍보전문가·다문화 언어교사) ②신중성(제갈공명 / 스마트 재난관리 전문가 등) ③원만성(넬슨 만델라 / 외교관·국제통상 전문가·인사 전문가)
· 핵심 강점 '개방성' 연관어: 관점, 새로움, 피카소, 융합적, 교사, 이해, 수용적, 재창조 / 강화 방안: '다양한 관점을 알아볼 수 있는 토론 하기, 친구들과 같은 주제를 가지고 여러 의견 내기'
· 희망 전공: 디자인, 사학·철학, 의학 / 추천 전공: 미술·디자인, 외국어·문학, 주거·의류 / 가장 선호 계열: 인문
· 일치 여부: '거의 일치함' / 선호 직무 유형: 글로벌형(판독 어려움) / 직업 가치: 경제적 풍족 &gt; 안정성 &gt; 창의성</t>
        </is>
      </c>
      <c r="E7" s="5" t="inlineStr">
        <is>
          <t>디자인 1순위가 검사 결과와 일치함. 강점 강화 방안을 토론·의견 나누기로 구체적으로 적음.</t>
        </is>
      </c>
      <c r="F7" s="5" t="n"/>
    </row>
    <row r="8" ht="234" customHeight="1">
      <c r="A8" s="4" t="inlineStr">
        <is>
          <t>1-5</t>
        </is>
      </c>
      <c r="B8" s="5" t="inlineStr">
        <is>
          <t>최고 관심 직업 선정하기</t>
        </is>
      </c>
      <c r="C8" s="5" t="inlineStr">
        <is>
          <t>4차시 결과를 바탕으로 관심 직업 4개 정보 수집, 토너먼트로 최고 관심 직업 선정, 직업 가치관과 비교, 미래 명함 만들기</t>
        </is>
      </c>
      <c r="D8" s="5" t="inlineStr">
        <is>
          <t>· 4개 직업: 일러스트레이터(광고·영상 등에 들어가는 그림·도안 제작 / 미적 감각, 창의적 사고, 융합적 사고 / 시각디자인학과·조형디자인학과), 제품 디자이너(가전제품·가구·생활용품 등 주변 모든 공산품 디자인 / 관찰력, 창의력, 공간 지각 능력 / 산업디자인학과·제품디자인학과), 간호사(환자의 건강 회복·유지·증진, 질병 예방 / 응급상황 대처능력, 의사소통 및 협동력 / 간호학과), 설계사(건물의 기능·안전·미관을 고려한 설계 도면 작성, 공사 과정 감독 / 공간지각 능력, 수리 능력, 창의력 / 건축학과)
· 준결승: 제품 디자이너('전망') vs 설계사('흥미 있음') → 최종 '제품 디자이너' — '흥미가 많고 알아볼 생각 있음' / 설계사 포기 이유: '추천은 받았지만 아직 아무것도 없음'
· 가치관 비교: '적당히 맞는다'</t>
        </is>
      </c>
      <c r="E8" s="5" t="inlineStr">
        <is>
          <t>디자인 계열로 방향이 잡힘. 4개 직업 정보를 꼼꼼히 작성함.</t>
        </is>
      </c>
      <c r="F8" s="5" t="inlineStr">
        <is>
          <t>미래 명함 미작성</t>
        </is>
      </c>
    </row>
    <row r="9" ht="192" customHeight="1">
      <c r="A9" s="4" t="inlineStr">
        <is>
          <t>1-7</t>
        </is>
      </c>
      <c r="B9" s="5" t="inlineStr">
        <is>
          <t>희망 학과(전공) 탐색하기</t>
        </is>
      </c>
      <c r="C9" s="5" t="inlineStr">
        <is>
          <t>2인 1조로 같은 학과를 커리어넷·고용24 등에서 탐색해 학과 개요·교육과정·진로 정보 정리</t>
        </is>
      </c>
      <c r="D9" s="5" t="inlineStr">
        <is>
          <t>· 탐색 학과: 시각디자인학과, 웹디자인학과 / 관심 대학: 'X'(없음)
· 학과 개요: 시각정보의 전달 및 상품과 서비스의 유통 과정에서 직면하는 각종 커뮤니케이션 문제 분석
· 연결 포인트: '그림으로 표현하는 것, 창조적이고 논리적인 사고'
· 고교 과목: 사회, 미술, 미술창작, 감상과 비평 / 대학 교과목: 기초디자인, 색채와 생활, 디자인 발상법
· 자격증: 웹디자인기능사 / 진출: 멀티미디어 업체, 이벤트업체 등 / 학과 전망: 'X'
· 노력할 것: '미술, 정보 교과 성적 올리기, 협업·창의력·성실성 중시'</t>
        </is>
      </c>
      <c r="E9" s="5" t="inlineStr">
        <is>
          <t>디자인 진로와 일관됨.</t>
        </is>
      </c>
      <c r="F9" s="5" t="inlineStr">
        <is>
          <t>관심 대학, 학과 전망 미기재</t>
        </is>
      </c>
    </row>
    <row r="10" ht="80" customHeight="1">
      <c r="A10" s="4" t="inlineStr">
        <is>
          <t>1-8</t>
        </is>
      </c>
      <c r="B10" s="5" t="inlineStr">
        <is>
          <t>나의 대학 진학 설계(대입 전형 유형 분석)</t>
        </is>
      </c>
      <c r="C10" s="5" t="inlineStr">
        <is>
          <t>조별 사전 연습(동국대 수학과 전형 분석), 전형 유형별 나의 경쟁력 별점, 희망 대학 2028 시행계획 보고 수시·정시 전형 1개씩 선택</t>
        </is>
      </c>
      <c r="D10" s="5" t="inlineStr">
        <is>
          <t>· 사전 연습(동국대 수학과) 표 작성 + 반영 교과: 국어·수학·영어·사회·과학, 상위 10과목, 3학년 1학기까지 반영
· 전형별 준비도 별점: 학생부교과 4개, 학생부종합 2개, 논술 1개, 실기/실적 4개, 정시 3개</t>
        </is>
      </c>
      <c r="E10" s="5" t="inlineStr">
        <is>
          <t>반에서 드물게 반영 교과 표와 경쟁력 별점까지 작성함. 스스로 학생부교과·실기 쪽 준비도를 높게 봄.</t>
        </is>
      </c>
      <c r="F10" s="5" t="inlineStr">
        <is>
          <t>step2(도전 전형) 미기재</t>
        </is>
      </c>
    </row>
    <row r="11" ht="136" customHeight="1">
      <c r="A11" s="4" t="inlineStr">
        <is>
          <t>1학기 최종</t>
        </is>
      </c>
      <c r="B11" s="5" t="inlineStr">
        <is>
          <t>1학기 진로수업 마무리 활동지(진로 점검 &amp; 과목 선택 최종 설계)</t>
        </is>
      </c>
      <c r="C11" s="5" t="inlineStr">
        <is>
          <t>5·7·8차시 돌아보기, 1학기 마무리 기준 최종 진로 목표, 2·3학년 과목 선택 설계, 대입 전형 연계, 2학기 다짐</t>
        </is>
      </c>
      <c r="D11" s="5" t="inlineStr">
        <is>
          <t>· 돌아보기: 5차시 '디자인 관련'·7차시 '디자인'·8차시 '모름' 모두 그대로 유지
· 최종 목표: 공통(계열) / 인테리어 관련 직종 / 디자인 / 목표 대학 '모름'
· 대입: 수시 학생부종합, 정시 수능
· 2학기 다짐: '진로를 더 자세히 ○○겠다'(끝부분 판독 어려움)</t>
        </is>
      </c>
      <c r="E11" s="5" t="inlineStr">
        <is>
          <t>1학기 동안 디자인 계열로 일관되었고, 최종에는 '인테리어 관련 직종'으로 구체화함. 그런데 P-1 계획서에서는 '출판사 편집부'를 진로로 적어 2학기에 진로가 크게 바뀐 것으로 보임. 상담 때 계기를 물어볼 만함.</t>
        </is>
      </c>
      <c r="F11" s="5" t="inlineStr">
        <is>
          <t>과목 선택 설계, 2학기 집중 과제 미기재 / 학번·이름 공란</t>
        </is>
      </c>
    </row>
    <row r="12" ht="220" customHeight="1">
      <c r="A12" s="4" t="inlineStr">
        <is>
          <t>2-2</t>
        </is>
      </c>
      <c r="B12" s="5" t="inlineStr">
        <is>
          <t>나도 입학사정관(서울대 합격생 학생부 평가)</t>
        </is>
      </c>
      <c r="C12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2" s="5" t="inlineStr">
        <is>
          <t>· 평가 사례: 2024 공과대학 조선해양공학과(4조)
· 학업역량: B&gt;A&gt;C — 이유: '수학, 과학, 사회를 중점에 두어 판단했습니다.'
· 진로역량: B&gt;C&gt;A — 이유: '해양공학과에 맞는 활동을 많이 실천한 학생을 높이 평가했습니다.'
· 공동체역량: A&gt;B&gt;C — 이유: 'A의 생기부·자소서에서 공동체 의식을 느낄 수 있었고 리더십 활동도 활발히 했습니다.'
· 조별 예상 순위: C-A-B / 결과 확인: 미기재
· 느낀 점: '입학사정관이 되어 생기부·자소서를 평가해볼 수 있어서 신기했습니다. 입학사정관의 입장이 되어보는 귀중한 경험이었습니다.'
· 배운 점: '앞으로 생기부·자소서를 어떻게 채워야 할지 감이 잡혔습니다. 후회하지 않도록 제대로 열심히 해야겠다고 생각했습니다.'</t>
        </is>
      </c>
      <c r="E12" s="5" t="inlineStr">
        <is>
          <t>3개 역량 모두 학과와 연결한 구체적인 근거를 씀. 반에서 완성도가 높은 편.</t>
        </is>
      </c>
      <c r="F12" s="5" t="inlineStr">
        <is>
          <t>결과 확인 칸 미기재</t>
        </is>
      </c>
    </row>
    <row r="13" ht="248" customHeight="1">
      <c r="A13" s="4" t="inlineStr">
        <is>
          <t>P-1</t>
        </is>
      </c>
      <c r="B13" s="5" t="inlineStr">
        <is>
          <t>진로 프로젝트 1차시: 3종 트랙 탐색·선택 및 8차시 개인 계획서</t>
        </is>
      </c>
      <c r="C13" s="5" t="inlineStr">
        <is>
          <t>주제탐구·진로독서·습관형성 3개 트랙 비교 후 1개 선택, 선택 트랙별 초기 아이디어 구상, 8차시 세부 계획 및 한 줄 다짐·자가 점검</t>
        </is>
      </c>
      <c r="D13" s="5" t="inlineStr">
        <is>
          <t>[선택 트랙] ② 진로독서
· 선택 이유: '진로 쪽은 정했으나 독서 활동을 통해 여러 분야나 특정 직업의 업무를 알아보고 싶음'
· 독서 이유: '책을 통해 관심 직업인 출판사 편집부의 업무량, 여러 요소, 장·단점을 알아보고 싶어서'
· 도서 선정 기준: ①관심 분야 ②난이도 ③재미(필력) / 후보 도서: 『출판 편집 실무노트』
· 계획: 2차시 책 구매·대여 → 3차시 출판사별 업무·책 줄거리 조사 후 목표 설정 → 4차시 1차 정리·목표 수정(1차 독서기록) → 5차시 2차 정리·편집부 업무 요소 정리(2차 독서기록+업무 정리 문서) → 6차시 발표·서평 개요 작성, 재독 → 7차시 서평·출판 업무 최종 정리(서평, 발표, 최종 문서)
· 다짐: '8차시 동안 내 진로를 보다 더 명확히 정하겠다' / 자가 점검 3개 모두 체크</t>
        </is>
      </c>
      <c r="E13" s="5" t="inlineStr">
        <is>
          <t>반에서 가장 완성도가 높은 계획서 중 하나. 출판 편집자라는 구체적인 진로와 도서가 정해져 있음. 주제탐구 칸에 적었던 내용(출판업 등)은 스스로 지움.</t>
        </is>
      </c>
      <c r="F13" s="5" t="n"/>
    </row>
    <row r="14" ht="198" customHeight="1">
      <c r="A14" s="4" t="inlineStr">
        <is>
          <t>P-2</t>
        </is>
      </c>
      <c r="B14" s="5" t="inlineStr">
        <is>
          <t>진로 프로젝트 2차시(진로독서): 도서 선정</t>
        </is>
      </c>
      <c r="C14" s="5" t="inlineStr">
        <is>
          <t>진로 독서가 필요한 이유 생각, 나의 도서 선정 기준 정리, 후보 도서 3권 비교 후 최종 1권 선정·이유 작성</t>
        </is>
      </c>
      <c r="D14" s="5" t="inlineStr">
        <is>
          <t>[진로독서] 짝 없음
· 진로독서를 하는 이유: 직업이 출판과 관련이 있고, 책을 읽으며 해당 직업의 단점·장점을 알아보고 싶음
· 도서 선정 기준: 저자의 전문성, 기획의 완성도, 자료의 유용성
· 후보 도서: ① 『출판 편집 실무 노트』 ② 『출판편집의 시작』 ③ 『편집자의 세계』
· 최종 선정: 『지속가능한 출판을 위한 출판 편집의 시작』
· 선정 이유: '다른 책들은 리뷰를 찾아봤을 때 예시 사례가 부실하거나 내용이 어렵다는 평이 많았다. 해당 책은 부담 없이 희망 직업을 알아볼 수 있을 것 같다.'</t>
        </is>
      </c>
      <c r="E14" s="5" t="inlineStr">
        <is>
          <t>1차시 후보였던 『출판 편집 실무노트』를 리뷰를 비교한 뒤 다른 책으로 바꿈. 리뷰를 근거로 고르는 활동 취지를 잘 따름. 출판 편집자라는 진로와 계속 일관됨.</t>
        </is>
      </c>
      <c r="F14" s="5" t="inlineStr">
        <is>
          <t>후보 도서 저자명 일부 판독 어려움</t>
        </is>
      </c>
    </row>
    <row r="15" ht="254" customHeight="1">
      <c r="A15" s="4" t="inlineStr">
        <is>
          <t>P-3</t>
        </is>
      </c>
      <c r="B15" s="5" t="inlineStr">
        <is>
          <t>진로 프로젝트 3차시(진로독서): 독서 전 활동 및 독서 활동 시작</t>
        </is>
      </c>
      <c r="C15" s="5" t="inlineStr">
        <is>
          <t>제목·표지를 보고 내용 예상하기, 목차 중 가장 궁금한 부분 정하기, 이 책을 통해 알고 싶은 것 미리 적기</t>
        </is>
      </c>
      <c r="D15" s="5" t="inlineStr">
        <is>
          <t>[진로독서] 『지속가능한 출판을 위한 출판 편집의 시작』 독서 전 활동
· 예상한 내용: 앞으로의 출판에 관한 내용, 특히 AI와 관련된 내용을 다룰 것 같음. '출판 편집의 시작'이라는 제목으로 보아 기본적인 업무나 편집자가 될 수 있는 방법이 실려 있을 것으로 추측
· 가장 궁금한 부분: Part 1의 07번 '출판 편집자에 대한 환상을 버려라' — '나도 편집자에 대한 존경과 환상을 가지고 진로로 희망하고 있기 때문에 업무의 어려움과 현실을 직시하고 직업에 대해 객관적으로 판단하고 싶기 때문'
· 알고 싶은 것: 편집자가 하는 일이 정확히 무엇이며, 장단점·업무 난이도·지녀야 할 마음가짐, 이 직업을 갖기 위해 필요한 능력</t>
        </is>
      </c>
      <c r="E15" s="5" t="inlineStr">
        <is>
          <t>희망 직업의 '현실'을 알고 싶다는 이유로 목차를 골라, 진로를 객관적으로 점검하려는 태도가 뚜렷함. 1~3차시 내내 출판 편집자 진로가 일관됨.</t>
        </is>
      </c>
      <c r="F15" s="5" t="inlineStr">
        <is>
          <t>없음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11208 방채원)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않음. P-1 계획서 묶음에는 이 학생의 활동지가 없었음(결석·미제출 확인 필요). P-2 활동지는 제출함.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34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진진가 퀴즈 정답: 2, 2
· 자기소개 문제: 큰외삼촌이 30대이다, 수학 선생님이 꿈이었다, 전정훈(?)을 좋아했다, 인천에서 태어났다, 안경을 썼었다, 화장 시작한 지 2년도 안 됐다
· 질문지: 진로 탐색 5문항 모두 '그렇다' / 상담 상대: 선배나 친구
· 진로 결정 시 중요: 나의 소질과 적성, 학업 성적 / 정보 탐색: 인터넷, 유튜브, 관련 서적, 진로 상담 / 노력: 틈틈이 정보 수집 / 어려운 점: 나의 특성을 몰라서
· 진로수업에 바라는 것: '선택과목 연결'
· 약속: 5개 모두 체크 — '수업 시간의 기본이라 생각하기 때문에' / 깨달은 점: '열심히 참여해 내 꿈을 향해 노력해야겠다' / 다섯 글자 다짐: '미래를 향해'</t>
        </is>
      </c>
      <c r="E5" s="5" t="inlineStr">
        <is>
          <t>진로 탐색 문항을 고르게 긍정적으로 응답함. 선택과목 연결에 관심.</t>
        </is>
      </c>
      <c r="F5" s="5" t="n"/>
    </row>
    <row r="6" ht="150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교과·학종, 수능 최저 / 정시: 수능 / 내신 5등급제, 1등급 상위 10%, 지필+수행, 수행평가 비중 높음
· 졸업 192학점, 2학년부터 진로에 맞게, 1학년 여름방학 전 진로 정하기
· 세특, 태도: '적극적 참여, 활동, 과제 성실 수행' / 창체: 자율·자치, 진로(동아리 칸에 기재) / 담임 기록: 행특
· 2028 수능: 공통, 통합사회·통합과학, 생기부 반영 / 역전 요소: '세특 활동'</t>
        </is>
      </c>
      <c r="E6" s="5" t="inlineStr">
        <is>
          <t>대부분 채움. 일부 칸은 줄임말로 적음.</t>
        </is>
      </c>
      <c r="F6" s="5" t="inlineStr">
        <is>
          <t>7번 '주도성', 8번 '활동 후 나의 다짐' 미기재</t>
        </is>
      </c>
    </row>
    <row r="7" ht="164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18명(오답, 정답 28명), 2등급 94명, 3등급 183명, 4등급 249명까지
· 목표 점수: 공통국어 75, 공통수학 50, 공통영어 60, 한국사 90, 통합사회 70, 통합과학 65
· 시험 계획(4/13~4/20): 6과목 모두 날짜별 작성 — 국어 본문 읽기·상징적 의미 파악·요약·반복·총정리 / 수학 개념 이해·문제 풀기·다항식·복습 / 영어 본문 외우기·문법·단어 / 한국사 요약·암기 반복 / 통합사회 기출 풀기 / 통합과학 암기·기출 풀기</t>
        </is>
      </c>
      <c r="E7" s="5" t="inlineStr">
        <is>
          <t>6과목 목표 점수와 계획을 모두 작성함. 과목별 목표를 현실적으로 차등해서 잡음(수학 50, 한국사 90).</t>
        </is>
      </c>
      <c r="F7" s="5" t="inlineStr">
        <is>
          <t>1등급 인원 계산 오류(18명) / 3번 변수 문항, 4번 느낀 점 미기재</t>
        </is>
      </c>
    </row>
    <row r="8" ht="220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①끈기(세종대왕 / 운동선수·연주가·동물사육사) ②리더십(이순신 / 지속가능경영 전문가·CEO·영화감독) ③개방성(파블로 피카소 / 홍보전문가·언어치료사·융합형 디자이너)
· 핵심 강점 '리더십' 연관어: 협동, 봉사, 통솔, 대회, 솔선수범, 이끌기, 조율, 조장 / 강화 방안: '리더십을 느끼고 사용할 수 있는 프로그램 하기'
· 희망 전공: 유아·특수교육, 언론·홍보, 영상·공연 / 추천 전공: 유아·특수교육, 초·중등교육, 영상·공연 / 가장 선호 계열: 교육계열
· 일치 여부: '교육에 더 관심이 가고, 영상·공연은 언론·홍보가 재미있다고 생각했음'
· 선호 직무 유형: 돌봄형 / 직업 가치: 안정성 &gt; 경제적 풍족 &gt; 사회적 인정</t>
        </is>
      </c>
      <c r="E8" s="5" t="inlineStr">
        <is>
          <t>희망 전공과 추천 전공의 1·3순위가 일치함(유아·특수교육, 영상·공연). 교육과 미디어 두 방향이 함께 보임.</t>
        </is>
      </c>
      <c r="F8" s="5" t="n"/>
    </row>
    <row r="9" ht="248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유치원 교사(유아 보호·양육·교육 제공 / 책임감, 의사소통능력, 인내심, 창의력 / 유아교육학과·아동학과), 방송 PD(방송 프로그램 기획·제작·촬영·편집 총괄 / 기획력, 리더십, 창의력, 문제해결능력 / 방송영상학과·신문방송학과), 홍보전문가(광고 제작·기획, 정보 수집, 시장 분석 / 의사소통능력, 글쓰기, 기획력, 분석력 / 광고홍보학과), CEO(회사 운영·경영 결정 / 리더십, 판단력, 책임감, 경영능력 / 경영학과·경제학과)
· 준결승: 유치원 교사('어린 아이들을 가르치고 함께 한다는 게 뿌듯할 것 같아서') vs 홍보전문가('내가 좋아하는 것을 홍보한다는 것은 즐거움') → 최종 '유치원 교사' / 포기 이유: '뿌듯함이 즐거움을 이김'
· 가치관 비교: 유치원 교사는 돌봄형·안정성에 잘 맞음, 방송 PD는 사회적 인정, 홍보전문가는 사회적 인정·경제적 풍족</t>
        </is>
      </c>
      <c r="E9" s="5" t="inlineStr">
        <is>
          <t>직업 가치관과 비교까지 성실히 작성함. '뿌듯함이 즐거움을 이겼다'는 선택 이유가 인상적임.</t>
        </is>
      </c>
      <c r="F9" s="5" t="inlineStr">
        <is>
          <t>미래 명함 미작성</t>
        </is>
      </c>
    </row>
    <row r="10" ht="192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미디어커뮤니케이션학과(신문방송학과를 지우고 씀) / 관심 대학: 동아대학교
· 학과 개요: '사회에서 발생하는 커뮤니케이션 현상을 포괄적으로 연구'
· 연결 포인트: '연예인, 드라마, 영화 등을 좋아함 → 촬영 및 연출'
· 고교 과목: 국어, 영어, 사회 / 대학 교과목: 방송영상론, 광고홍보학개론, 디지털 영상의 기획과 촬영 / 자격증: 방송통신산업기사
· 진출: PD, 기자, 광고 홍보전문가, 마케팅 전문가
· 노력할 것: '국어·영어·사회 성적 올리기, 미디어를 많이 찾아보기'</t>
        </is>
      </c>
      <c r="E10" s="5" t="inlineStr">
        <is>
          <t>2인 1조 활동에서 미디어 쪽 학과를 탐색함(5차시 2순위였던 홍보·PD 방향). 1학기 최종에서는 유아교육과로 돌아감.</t>
        </is>
      </c>
      <c r="F10" s="5" t="inlineStr">
        <is>
          <t>학과 전망 미기재</t>
        </is>
      </c>
    </row>
    <row r="11" ht="80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일부 작성: 모집인원과 경쟁률로 보이는 숫자(894/27.1, 470/14.3, 855/25.9 등)를 적음</t>
        </is>
      </c>
      <c r="E11" s="5" t="inlineStr">
        <is>
          <t>전형 방법 칸에 경쟁률 등 다른 정보를 적어 표의 의도와 다르게 작성함.</t>
        </is>
      </c>
      <c r="F11" s="5" t="inlineStr">
        <is>
          <t>반영 교과 표, 2번 step1·step2 미기재</t>
        </is>
      </c>
    </row>
    <row r="12" ht="164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'유치원 교사' 그대로 유지 / 7차시 '유아교육학과' 완전히 바뀜(실제 7차시 기록은 미디어커뮤니케이션학과) / 8차시 '경기대 교육계열'
· 최종 목표: 교육계열 / 유치원 교사 / 유아교육학과 / 경기대
· 과목 선택: 국어 — 문학과 영상 / 수학 — 인공지능 수학 / 사회 — 윤리와 사상 / 과학 — 화학 / 기타 — 중국어
· 대입: 수시 학생부종합 / 2학기 다짐: '열심히'</t>
        </is>
      </c>
      <c r="E12" s="5" t="inlineStr">
        <is>
          <t>1학기 최종 진로는 유치원 교사로 5차시와 일관됨. 미디어 분야와 고민한 흔적이 있음. P-1 계획서는 제출되지 않아 확인이 필요함.</t>
        </is>
      </c>
      <c r="F12" s="5" t="inlineStr">
        <is>
          <t>바뀐/유지 이유, 연결 포인트, 정시 관심 전형, 2학기 집중 과제 미기재</t>
        </is>
      </c>
    </row>
    <row r="13" ht="172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2025 공과대학 컴퓨터공학부(1조)
· 학업역량: C&gt;B&gt;A — 이유: 'C는 전부 1.0임'
· 진로역량: A&gt;B&gt;C — 이유: 진로와 관련된 활동과 책임감이 넘침(일부 판독 어려움)
· 공동체역량: B&gt;C&gt;A — 이유: '동아리 활동으로 공동체를 이끈 경험들로 함'
· 조별 예상 순위: B-C-A / 결과 확인: C-A-B → 불일치
· 느낀 점: '성적 높은 게 꽤 크다.'
· 배운 점: '공부 열심히 해야겠다.'</t>
        </is>
      </c>
      <c r="E13" s="5" t="inlineStr">
        <is>
          <t>3개 역량 모두 이유를 짧게나마 적음. 여백에 A·B 학생 특징을 메모함. 느낀 점은 성적 중심.</t>
        </is>
      </c>
      <c r="F13" s="5" t="inlineStr">
        <is>
          <t>진로역량 이유·여백 메모 일부 판독 어려움</t>
        </is>
      </c>
    </row>
    <row r="14" ht="192" customHeight="1">
      <c r="A14" s="4" t="inlineStr">
        <is>
          <t>P-2</t>
        </is>
      </c>
      <c r="B14" s="5" t="inlineStr">
        <is>
          <t>진로 프로젝트 2차시(주제탐구): 탐구 방법 안내 &amp; 탐구계획서</t>
        </is>
      </c>
      <c r="C14" s="5" t="inlineStr">
        <is>
          <t>통계·기사·논문·기관 사이트 등 자료원 안내, 핵심 탐구 질문과 하위 질문 3개 작성, 활용할 자료원 정리</t>
        </is>
      </c>
      <c r="D14" s="5" t="inlineStr">
        <is>
          <t>[주제탐구] 짝 없음
· 핵심 질문: '유아 교사의 언어적 상호작용은 유아의 말하기 능력 발달에 어떤 영향을 미치는가?'
· 하위 ①: 유아의 말하기 능력은 연령에 따라 어떻게 발달하는가?
· 하위 ②: 교사의 질문과 대화 방식은 유아의 언어 표현 능력에 어떤 영향을 미치는가?
· 하위 ③: 유아의 말하기 능력 발달을 돕기 위해 교사는 어떤 언어적 상호작용을 해야 하는가?
· 자료원: 교육부 유아교육 자료, 유아 언어발달 관련 학술 논문, 유아 교사의 상호작용 관련 연구 자료</t>
        </is>
      </c>
      <c r="E14" s="5" t="inlineStr">
        <is>
          <t>1차시 계획서는 제출하지 않았지만 2차시에 주제탐구로 참여함. 1학기 최종 목표(유치원 교사)와 일관되고 질문 구조가 논리적임. 트랙 선택·8차시 계획(1차시)은 보충 작성 필요.</t>
        </is>
      </c>
      <c r="F14" s="5" t="inlineStr">
        <is>
          <t>1차시 계획서 미제출(보충 필요)</t>
        </is>
      </c>
    </row>
    <row r="15" ht="140" customHeight="1">
      <c r="A15" s="4" t="inlineStr">
        <is>
          <t>P-3</t>
        </is>
      </c>
      <c r="B15" s="5" t="inlineStr">
        <is>
          <t>진로 프로젝트 3차시(주제탐구): 자료 수집</t>
        </is>
      </c>
      <c r="C15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5" s="5" t="inlineStr">
        <is>
          <t>[주제탐구] 자료 1개
· ① 숙명여대 박사논문 '교사-유아 상호작용 및 교실환경과 유아 말하기 능력…'(제목 끝부분 판독 어려움): 교사가 단순히 지시·전달만 하지 않고 질문·언어적 모델링·피드백·스캐폴딩을 통해 유아의 생각을 확장하고, 또래 간 의사소통과 상호작용을 촉진해 언어와 사고 발달을 도움</t>
        </is>
      </c>
      <c r="E15" s="5" t="inlineStr">
        <is>
          <t>2차시 탐구 질문(교사의 언어적 상호작용과 유아 말하기 발달)에 딱 맞는 학위논문을 찾아 핵심을 잘 요약함. 다만 자료가 1개뿐이라 추가 수집이 필요함.</t>
        </is>
      </c>
      <c r="F15" s="5" t="inlineStr">
        <is>
          <t>자료 ②~⑤, 나의 생각/메모 미기재 / 논문 제목 끝부분 판독 어려움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11209 백주호)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1-3, 1-4, 1-6차시 활동지가 포함되어 있지 않음. 필체가 흐리고 번진 곳이 많아 일부 내용은 판독이 어려움. 학번이 '11204'처럼 보이게 적힌 장이 있으나 개인 파일(11209) 기준으로 정리함.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192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'저는 형제가 있다'(누나·동생·형), 1학년 때 ○반 등(일부 판독 어려움)
· 질문지: 진로를 자신 있게 말할 수 있다 '그렇지 않다' / 꿈을 위해 노력 '그렇다' / 가족과 대화 '그렇지 않다' / 필요한 공부 알고 노력 '그렇지 않다' / 상담 경험 '매우 그렇지 않다' / 상담 상대: 학원 강사, 선배나 친구
· 진로 결정 시 중요: 나의 소질과 적성 / 정보 탐색: 유튜브 / 노력: 다양한 진로 체험 활동 / 어려운 점: 나의 특성을 몰라서(체크 흐림)
· 약속: ★연결 — '내가 지금 시점에서 가장 필요하고 진지하게 생각해봐야 할 것 같아서' / 깨달은 점: '진로는 중요하다'</t>
        </is>
      </c>
      <c r="E5" s="5" t="inlineStr">
        <is>
          <t>진로 자신감과 상담 경험이 낮게 응답됨. 그래도 '지금 가장 필요하고 진지하게 생각해야 한다'고 적어 진로 고민의 필요성은 느끼고 있음.</t>
        </is>
      </c>
      <c r="F5" s="5" t="inlineStr">
        <is>
          <t>진진가 퀴즈 정답·인사 미기재 / 다섯 글자 다짐 판독 어려움</t>
        </is>
      </c>
    </row>
    <row r="6" ht="66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대부분의 빈칸을 채웠으나 필체가 흐리고 덧칠이 많아 판독이 어려움. 5등급제, 1등급 상위 10%, 역전 등은 확인됨</t>
        </is>
      </c>
      <c r="E6" s="5" t="n"/>
      <c r="F6" s="5" t="inlineStr">
        <is>
          <t>대부분 판독 어려움(원본 확인 필요) / 8번 다짐 미기재</t>
        </is>
      </c>
    </row>
    <row r="7" ht="164" customHeight="1">
      <c r="A7" s="4" t="inlineStr">
        <is>
          <t>1-5</t>
        </is>
      </c>
      <c r="B7" s="5" t="inlineStr">
        <is>
          <t>최고 관심 직업 선정하기</t>
        </is>
      </c>
      <c r="C7" s="5" t="inlineStr">
        <is>
          <t>4차시 결과를 바탕으로 관심 직업 4개 정보 수집, 토너먼트로 최고 관심 직업 선정, 직업 가치관과 비교, 미래 명함 만들기</t>
        </is>
      </c>
      <c r="D7" s="5" t="inlineStr">
        <is>
          <t>· 4개 직업: 건물주(건물에서 세를 받고 산다 / 회계·사무 / 경영·건축·회계), 편의점 사장(편의점 관리 / 회계·경영 / 경영·회계), 유치원 교사(유치원생 교육 및 관리 / 유아교육과), 보건교사(학생 아픔 치료 / 간호과)
· 준결승: 건물주('세 받고 살고 싶어서') vs 유치원 교사 → 최종 칸에 '보건교사'라고 적음 — 선택 이유 '학교에서 편해 보여서'(일부 판독 어려움)
· 가치관 비교: '유치원 교사는 안정성과 사회적 인정에 ○○'(판독 어려움)</t>
        </is>
      </c>
      <c r="E7" s="5" t="inlineStr">
        <is>
          <t>'건물주', '편해 보여서' 등 직업 선택 이유가 편안함·수입 위주임. 토너먼트 흐름과 최종 선택이 맞지 않아 활동 방법을 잘 이해하지 못했을 수 있음.</t>
        </is>
      </c>
      <c r="F7" s="5" t="inlineStr">
        <is>
          <t>필요 능력 일부, 포기 이유 판독 어려움 / 미래 명함 미작성</t>
        </is>
      </c>
    </row>
    <row r="8" ht="150" customHeight="1">
      <c r="A8" s="4" t="inlineStr">
        <is>
          <t>1-7</t>
        </is>
      </c>
      <c r="B8" s="5" t="inlineStr">
        <is>
          <t>희망 학과(전공) 탐색하기</t>
        </is>
      </c>
      <c r="C8" s="5" t="inlineStr">
        <is>
          <t>2인 1조로 같은 학과를 커리어넷·고용24 등에서 탐색해 학과 개요·교육과정·진로 정보 정리</t>
        </is>
      </c>
      <c r="D8" s="5" t="inlineStr">
        <is>
          <t>· 탐색 학과: 교육 및 보육 전문가(유아교육 계열로 보임) / 관심 대학: 대구가톨릭대학교
· 학과 개요: 교육 및 보육 전문가로서 영유아에게 필요한 것을 공부함(일부 판독 어려움)
· 연결 포인트: '누군가를 가르칠 때 희열을 느낌'
· 고교 과목: 사회, 국어, 기가 / 자격증: 유치원 정교사 2급, 어린이집 원장, 보육교사 2급 / 진출: 어린이집·유치원 등 / 전망: 취업률 78.6%
· 노력할 것: '동아리 적극 참여'</t>
        </is>
      </c>
      <c r="E8" s="5" t="inlineStr">
        <is>
          <t>'가르칠 때 희열을 느낀다'는 연결 포인트가 5차시보다 진지함. 학과 전망(취업률)까지 찾아 적음.</t>
        </is>
      </c>
      <c r="F8" s="5" t="inlineStr">
        <is>
          <t>대학 주요 교과목 판독 어려움</t>
        </is>
      </c>
    </row>
    <row r="9" ht="80" customHeight="1">
      <c r="A9" s="4" t="inlineStr">
        <is>
          <t>1-8</t>
        </is>
      </c>
      <c r="B9" s="5" t="inlineStr">
        <is>
          <t>나의 대학 진학 설계(대입 전형 유형 분석)</t>
        </is>
      </c>
      <c r="C9" s="5" t="inlineStr">
        <is>
          <t>조별 사전 연습(동국대 수학과 전형 분석), 전형 유형별 나의 경쟁력 별점, 희망 대학 2028 시행계획 보고 수시·정시 전형 1개씩 선택</t>
        </is>
      </c>
      <c r="D9" s="5" t="inlineStr">
        <is>
          <t>· 사전 연습(동국대 수학과) 표를 작성했으나 필체가 흐려 대부분 판독 어려움(정시 '수능 80%+학생부평가 20%' 정도 확인됨)</t>
        </is>
      </c>
      <c r="E9" s="5" t="n"/>
      <c r="F9" s="5" t="inlineStr">
        <is>
          <t>반영 교과 표, 2번 step1·step2 미기재 / 판독 어려움</t>
        </is>
      </c>
    </row>
    <row r="10" ht="122" customHeight="1">
      <c r="A10" s="4" t="inlineStr">
        <is>
          <t>1학기 최종</t>
        </is>
      </c>
      <c r="B10" s="5" t="inlineStr">
        <is>
          <t>1학기 진로수업 마무리 활동지(진로 점검 &amp; 과목 선택 최종 설계)</t>
        </is>
      </c>
      <c r="C10" s="5" t="inlineStr">
        <is>
          <t>5·7·8차시 돌아보기, 1학기 마무리 기준 최종 진로 목표, 2·3학년 과목 선택 설계, 대입 전형 연계, 2학기 다짐</t>
        </is>
      </c>
      <c r="D10" s="5" t="inlineStr">
        <is>
          <t>· 돌아보기: 5차시 '유치원 교사' 부분 수정 / 7차시 '보건교사'(그대로 유지로 보임) / 8차시 '교사' 완전히 바뀜 — 이유 판독 어려움
· 최종 목표: 교육/체육 계열 / 관장, 유치원 교사/체육교사 / 유아교육과, 생활체육학과 / 가천대 등(일부 판독 어려움)
· 대입: 수시 실기/실적, 정시 수능 / 과목 선택 연결 포인트 일부 작성(판독 어려움)</t>
        </is>
      </c>
      <c r="E10" s="5" t="inlineStr">
        <is>
          <t>1학기 동안 유치원 교사·보건교사·체육 쪽을 오가며 진로가 아직 정해지지 않음. 최종에 '관장', '체육교사', '생활체육학과'가 새로 등장하고, P-1 계획서의 운동·달리기 주제와 이어짐.</t>
        </is>
      </c>
      <c r="F10" s="5" t="inlineStr">
        <is>
          <t>과목 선택, 2학기 집중 과제, 2학기 다짐 판독 어려움(원본 확인 필요) / 이름 공란</t>
        </is>
      </c>
    </row>
    <row r="11" ht="192" customHeight="1">
      <c r="A11" s="4" t="inlineStr">
        <is>
          <t>2-2</t>
        </is>
      </c>
      <c r="B11" s="5" t="inlineStr">
        <is>
          <t>나도 입학사정관(서울대 합격생 학생부 평가)</t>
        </is>
      </c>
      <c r="C11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1" s="5" t="inlineStr">
        <is>
          <t>· 평가 사례: 2025 농업생명과학대학 스마트시스템과학과(2조)
· 학업역량: A&gt;C&gt;B — 이유: 'A가 가장 높고 B가 준수하고 C는 모자라서'
· 진로역량: B&gt;C&gt;A — 이유: '진로가 명확하게 드러나고 탐구를 잘 했다'
· 공동체역량: B(고쳐 씀)&gt;A&gt;C — 이유: 아이들과 함께 잘 지내는 모습이 보였다(일부 판독 어려움)
· 조별 예상 순위: A-C-B / 결과 확인: A-C-B → 일치
· 느낀 점: 각기 다른 사람들의 생기부를 살펴보니 학과마다 다른 생기부 내용이 있고, 알맞은 내용이 다르다는 것을 느낌
· 배운 점: 미기재</t>
        </is>
      </c>
      <c r="E11" s="5" t="inlineStr">
        <is>
          <t>조별 예상과 결과가 일치함. '학과마다 필요한 생기부 내용이 다르다'는 점을 스스로 발견함. 같은 2조 손지훈과 결과 확인 칸 순위가 다름.</t>
        </is>
      </c>
      <c r="F11" s="5" t="inlineStr">
        <is>
          <t>배운 점 미기재 / 결과 확인 순위가 같은 조와 달라 원본 확인 필요</t>
        </is>
      </c>
    </row>
    <row r="12" ht="234" customHeight="1">
      <c r="A12" s="4" t="inlineStr">
        <is>
          <t>P-1</t>
        </is>
      </c>
      <c r="B12" s="5" t="inlineStr">
        <is>
          <t>진로 프로젝트 1차시: 3종 트랙 탐색·선택 및 8차시 개인 계획서</t>
        </is>
      </c>
      <c r="C12" s="5" t="inlineStr">
        <is>
          <t>주제탐구·진로독서·습관형성 3개 트랙 비교 후 1개 선택, 선택 트랙별 초기 아이디어 구상, 8차시 세부 계획 및 한 줄 다짐·자가 점검</t>
        </is>
      </c>
      <c r="D12" s="5" t="inlineStr">
        <is>
          <t>[선택 트랙] ① 주제탐구
· 트랙: ① 주제탐구(③ 습관형성은 X로 지움). 이름 옆에 'with'라고 적혀 있음
· 선택 이유: '내가 지금부터 끝까지 관심 있는 주제이며 몸으로 하는 게 가장 좋아서'(일부 판독 어려움)
· 관심 분야: ②관광, ③경찰(①은 판독 어려움)
· 생각한 이유: '여러 운동을 해보며 운동에 대해 관심과 흥미가 생겼고 내가 하루하루 성장해가는 모습이 궁금했음'
· 잠정 주제: '○○와 달리기의 … 분석'(판독 어려움)
· 계획: 2차시 자료 찾기(2차시 계획서) → 3차시 자료 분석(분석 결과물) → 4차시 최종 결과물 → 5차시(지우고 다시 씀, 판독 어려움) → 6차시 PPT 제작 → 7차시 결과물 제출</t>
        </is>
      </c>
      <c r="E12" s="5" t="inlineStr">
        <is>
          <t>11211 손지훈과 8차시 계획 구성이 거의 같음(함께 작성한 것으로 보임). 운동·체육 쪽 관심이 드러나지만 주제 문장은 원본 확인이 필요함.</t>
        </is>
      </c>
      <c r="F12" s="5" t="inlineStr">
        <is>
          <t>잠정 주제·관심 분야 ①·5차시 계획 판독 어려움(원본 확인 필요) / 주제 선택 이유·다짐·자가 점검 미기재</t>
        </is>
      </c>
    </row>
    <row r="13" ht="207" customHeight="1">
      <c r="A13" s="4" t="inlineStr">
        <is>
          <t>P-2</t>
        </is>
      </c>
      <c r="B13" s="5" t="inlineStr">
        <is>
          <t>진로 프로젝트 2차시(주제탐구): 탐구 방법 안내 &amp; 탐구계획서</t>
        </is>
      </c>
      <c r="C13" s="5" t="inlineStr">
        <is>
          <t>통계·기사·논문·기관 사이트 등 자료원 안내, 핵심 탐구 질문과 하위 질문 3개 작성, 활용할 자료원 정리</t>
        </is>
      </c>
      <c r="D13" s="5" t="inlineStr">
        <is>
          <t>[주제탐구] 11211 손지훈과 공동
· 처음 쓴 질문(운동 환경이 아이들의 잠재력에 미치는 영향 등)은 줄로 지우고 다시 씀
· 핵심 질문: '합기도 강사가 갖춰야 할 덕목은 무엇인가?'
· 하위 ①: 합기도 강사의 덕목이 수련생의 태도와 성장에 어떤 영향을 끼치는가?
· 하위 ②: 좋은 합기도 강사가 되기 위해 필요한 자질과 지도 방법은 무엇인가?
· 하위 ③: 기본적인 덕목에는 무엇이 있는가?
· 자료원: 구글, 유튜브, 기사·논문, 또래의 의견 또는 조언</t>
        </is>
      </c>
      <c r="E13" s="5" t="inlineStr">
        <is>
          <t>1차시에서 흐릿했던 운동 관련 관심이 '합기도 강사'라는 구체적인 직업으로 드러남. 질문을 여러 번 고쳐 쓰며 좁혀 감. 하위 ③이 핵심 질문과 겹쳐 조정이 필요함.</t>
        </is>
      </c>
      <c r="F13" s="5" t="inlineStr">
        <is>
          <t>지운 질문 일부·자료원 끝부분 판독 어려움</t>
        </is>
      </c>
    </row>
    <row r="14" ht="198" customHeight="1">
      <c r="A14" s="4" t="inlineStr">
        <is>
          <t>P-3</t>
        </is>
      </c>
      <c r="B14" s="5" t="inlineStr">
        <is>
          <t>진로 프로젝트 3차시(주제탐구): 자료 수집</t>
        </is>
      </c>
      <c r="C14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4" s="5" t="inlineStr">
        <is>
          <t>[주제탐구] 자료 2개(필체가 흘려 쓰여 일부 판독 어려움)
· ① 스포츠 관련 뉴스(2024.02.28 기사, 매체명 판독 어려움): 스포츠 지도자는 자신이 중요한 사람이라는 자각이 필요하고, 실력 면에서 최고점을 내기 위해 지혜롭게 나아가야 함. 여기서 지혜란 선수와 관중을 행복하게 만드는 능력
· ② 출처명 판독 어려움(○○일보로 추정): 지도자의 태도와 올바른 가치관이 영향을 주어, 수련생이 지속 가능한 성장을 하고 자기 긍정적인 삶의 태도를 확립하는 기초가 됨</t>
        </is>
      </c>
      <c r="E14" s="5" t="inlineStr">
        <is>
          <t>2차시 탐구 질문(합기도 강사가 갖춰야 할 덕목)과 연결되는 '지도자의 태도·가치관' 자료를 고름. 짝 손지훈과 주제가 같음.</t>
        </is>
      </c>
      <c r="F14" s="5" t="inlineStr">
        <is>
          <t>자료 ③~⑤, 나의 생각/메모 미기재 / 자료 ①·② 출처명과 일부 문장 판독 어려움(원본 확인 필요)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11210 변준기)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않음. P-2 활동지 묶음에는 이 학생의 활동지가 없었음(결석·미제출 확인 필요).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34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4/23, 5/21, 9/28(생일 문제로 보임), 2·4·5, 키 2M, 17살
· 질문지: 진로를 자신 있게 말할 수 있다 '그렇지 않다' / 꿈을 위해 노력 '매우 그렇다' / 가족과 대화 '보통' / 필요한 공부 알고 노력 '그렇다' / 상담 경험 '그렇지 않다' / 상담 상대: 부모·친척
· 진로 결정 시 중요: 나의 소질과 적성 / 정보 탐색: 유튜브 / 노력: 틈틈이 정보 수집 / 어려운 점: 나의 특성을 몰라서
· 약속: ★존중 — '친구의 꿈과 생각이 나와 같을 수만은 없고, 그 친구가 하고 싶은 일은 존중해야 한다고 생각해서'
· 깨달은 점: '선생님께서 진로 활동에 대한 연설(?)을 10년 했다는 걸 깨달았다' / 다섯 글자 다짐: '열심히 하자'</t>
        </is>
      </c>
      <c r="E5" s="5" t="inlineStr">
        <is>
          <t>진로를 자신 있게 말하지는 못하지만 꿈을 위한 노력은 '매우 그렇다'로 응답함.</t>
        </is>
      </c>
      <c r="F5" s="5" t="inlineStr">
        <is>
          <t>진진가 퀴즈 정답·인사, 진로수업에 바라는 것 미기재</t>
        </is>
      </c>
    </row>
    <row r="6" ht="150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최저학력 / 정시: 수능 / 내신 5등급제, 1등급 상위 10%, 수행+지필, 수행평가 비중 높음
· 졸업 192학점, 2학년부터 희망 진로에 맞게, 1학년 여름방학 전 진로 정하기
· 세특 = 세부능력 및 특기사항, 태도: '수업 참여 및 학업역량, 수업에 적극적으로 참여' / 창체: 자율, 동아리 / 행동특성 및 종합의견
· 2028 수능: 공통, 통합사회·통합과학, 내신·생기부 반영 / 역전, 주도성</t>
        </is>
      </c>
      <c r="E6" s="5" t="inlineStr">
        <is>
          <t>빈칸을 빠짐없이 정확하게 채움.</t>
        </is>
      </c>
      <c r="F6" s="5" t="inlineStr">
        <is>
          <t>8번 '활동 후 나의 다짐' 미기재</t>
        </is>
      </c>
    </row>
    <row r="7" ht="248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 — 계산식과 함께 정확
· 등급 결정 변수: 동점자 '전원 2등급', 대학이 깊게 보는 항목 '과목별 세부능력 및 특기사항(세특)', NEIS 확인 '영상 내용과 다름'(일부 판독 어려움)
· 느낀 점: '반에서 2~3명이면 조금 쉬워 보인다'
· 목표 점수: 6과목 모두 100점 / 'Yes I can do it'
· 시험 계획: 한국사만 날짜별 작성 — 조선시대 왕 관련 영상 보기, 일제강점기·6.25 영상, 한국사 공통 개념책 1회 풀기, 유튜브로 알고리즘 관련 기능(?) 해보기, 쇼츠로 역사 이론 영상 보기, 단종 영화 〈왕과 사는 남자〉 보기, 공통 개념책 다시 풀기</t>
        </is>
      </c>
      <c r="E7" s="5" t="inlineStr">
        <is>
          <t>6과목 모두 목표 100점으로 자신감이 높음. 다만 시험 계획은 한국사 한 과목에, 그것도 영상·영화 보기 위주로만 세움.</t>
        </is>
      </c>
      <c r="F7" s="5" t="inlineStr">
        <is>
          <t>한국사 외 5과목 시험 계획 미기재</t>
        </is>
      </c>
    </row>
    <row r="8" ht="164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①긍정성(프랭클린 루스벨트 / 창업투자 전문가·벤처투자가·홍보전문가) ②적극성(김만덕 / 사회단체활동가 등) ③성취지향성(권기옥 / 아이디어 컨설턴트·외환딜러·투자분석가)
· 핵심 강점 '긍정성' 연관어: 네잎클로버, 장원영, 도파민, 릴리, 인생, 시험, 노래, 급식 / 강화 방안: '원영적 사고'
· 희망 전공: 무용·체육, 음악, 영상·공연(지우고 고쳐 씀) / 추천 전공: 음악, 무용·체육, 영상·공연 / 가장 선호 계열: 예체능 계열
· 일치 여부: '비슷하다'</t>
        </is>
      </c>
      <c r="E8" s="5" t="inlineStr">
        <is>
          <t>희망 전공과 추천 전공이 순서만 다르고 모두 일치함(음악·체육·영상공연). 예체능 쪽 적성이 분명함.</t>
        </is>
      </c>
      <c r="F8" s="5" t="inlineStr">
        <is>
          <t>선호 직무 유형·직업 가치 미기재</t>
        </is>
      </c>
    </row>
    <row r="9" ht="94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2개 직업만 작성: 작곡가(멜로디와 화음을 창조하고 악기 배열·편곡으로 새로운 음악 작품을 만든다 / 음악적 감각, 음악이론 지식, 프로그램 활용능력 / 실용음악과), 방송 연출가(프로그램 기획부터 섭외·촬영·편집까지 제작 전 과정 총괄 / 다양한 스태프를 이끄는 능력)</t>
        </is>
      </c>
      <c r="E9" s="5" t="inlineStr">
        <is>
          <t>음악·방송 쪽 관심이 드러남.</t>
        </is>
      </c>
      <c r="F9" s="5" t="inlineStr">
        <is>
          <t>나머지 2개 직업, 토너먼트, 가치관 비교, 미래 명함 미기재</t>
        </is>
      </c>
    </row>
    <row r="10" ht="150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실용음악과 / 관심 대학: 한양대학교
· 연결 포인트: '평소 대중음악과 대중음악에 흥미가 있었고 작곡도 해보고 싶다. 또한 컴퓨터 활용 능력과 끈기가 있음'
· 고교 과목: 음악, 영어 및 제2외국어, 심리학, 국어, 정보
· 자격증: 음악교육사, 음악치료사(?), 중등 2급 정교사 / 진출: 작곡가, 작사가, 편곡가, 가수
· 노력할 것: '실용음악에 대해 현실적인 시선으로 바라보고, 이론을 많이 찾아보고 알아보고 익힌다'</t>
        </is>
      </c>
      <c r="E10" s="5" t="inlineStr">
        <is>
          <t>작곡·실용음악으로 진로가 구체화됨. '현실적인 시선으로 바라보겠다'는 다짐이 성숙함.</t>
        </is>
      </c>
      <c r="F10" s="5" t="inlineStr">
        <is>
          <t>학과 개요, 대학 주요 교과목, 학과 전망 미기재</t>
        </is>
      </c>
    </row>
    <row r="11" ht="94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학생부교과 4명(교과 70%+서류 30%), 학생부종합 9명(1단계 서류 100%, 2단계 면접 40%+1단계 60%), 논술 5명(학생부 30%: 교과 20%+출결 10%, 최저 있음), 정시 9명(수능 80%+학생부평가 20%)</t>
        </is>
      </c>
      <c r="E11" s="5" t="n"/>
      <c r="F11" s="5" t="inlineStr">
        <is>
          <t>반영 교과 표, 2번 step1·step2 미기재</t>
        </is>
      </c>
    </row>
    <row r="12" ht="150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'음악' 부분 수정 / 7차시 '실용음악과' 부분 수정 / 8차시 '서울예술대학교 음악계열' 그대로 유지 — 이유 '흥미와 관심이 사라지지 않아서'
· 최종 목표: 음악 계열 / 아티스트 / 실용음악과 / 서울예술대학교
· 과목 선택: 영어(가사 활용 가능), 기타(음악 관련)만 연결 포인트 작성
· 대입: 수시 실기/실적, 정시 실기/실적 / 2학기 집중 과제: '영어'</t>
        </is>
      </c>
      <c r="E12" s="5" t="inlineStr">
        <is>
          <t>1학기 내내 음악(실용음악)으로 진로가 일관됨. 1학기 초 작곡가·방송 연출가에서 최종 '아티스트'로 정리됨. P-1 계획서의 '시대에 따른 음악 스타일의 변화' 주제와 잘 이어짐.</t>
        </is>
      </c>
      <c r="F12" s="5" t="inlineStr">
        <is>
          <t>과목 선택 설계 대부분, 2학기 다짐 미기재</t>
        </is>
      </c>
    </row>
    <row r="13" ht="178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2024 첨단융합학부(6조)
· 학업역량: B&gt;A&gt;C — 이유: B가 모두 A(성취도)이고 사회적 탐구력을 보이는 활동에 적극 참여함 등(글씨가 작아 일부 판독 어려움)
· 진로역량: A(1순위만) — 이유: AI 분야에 대해 가진 관심·특징을 근거로 듦(일부 판독 어려움)
· 공동체역량: 미기재 — 이유 미기재
· 조별 예상 순위: A-B-C / 결과 확인: A-C-B → 불일치
· 느낀 점: '서울대는 못 가겠다.'
· 배운 점: '서울대 못 가겠다.'</t>
        </is>
      </c>
      <c r="E13" s="5" t="inlineStr">
        <is>
          <t>학업역량 근거는 비교적 자세히 썼지만, 느낀 점·배운 점을 모두 '서울대 못 가겠다'로 적음. 합격생과 비교하며 위축된 반응일 수 있어 가볍게 이야기 나눠 볼 만함.</t>
        </is>
      </c>
      <c r="F13" s="5" t="inlineStr">
        <is>
          <t>진로 2·3순위, 공동체역량 미기재 / 이유 일부 판독 어려움</t>
        </is>
      </c>
    </row>
    <row r="14" ht="178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① 주제탐구(진로연계형)
· 선택 이유: '진로는 아직 정하지 못했지만 음악을 좋아해서 음악에 대해 좀 더 알아보고 싶어서'
· 관심 분야: 음악, 작곡, 게임
· 생각한 이유: '평소에 음악을 듣고 그 전율을 느끼며 음악에 관심이 생겼다'(뒷부분 일부 판독 어려움)
· 잠정 주제: '시대에 따른 음악 스타일의 변화'
· 주제 선택 이유: 1990년대 노래와 지금까지 이어지는 노래를 들으며 변화가 궁금함(일부 판독 어려움)
· 다짐: '8차시 동안 열심히 해서 완성해보겠다'</t>
        </is>
      </c>
      <c r="E14" s="5" t="inlineStr">
        <is>
          <t>진로는 미정이라고 밝혔지만 음악이라는 관심사가 분명하고 주제도 명확함.</t>
        </is>
      </c>
      <c r="F14" s="5" t="inlineStr">
        <is>
          <t>8차시 세부 계획·자가 점검 미기재</t>
        </is>
      </c>
    </row>
    <row r="15" ht="142" customHeight="1">
      <c r="A15" s="4" t="inlineStr">
        <is>
          <t>P-3</t>
        </is>
      </c>
      <c r="B15" s="5" t="inlineStr">
        <is>
          <t>진로 프로젝트 3차시(주제탐구): 자료 수집</t>
        </is>
      </c>
      <c r="C15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5" s="5" t="inlineStr">
        <is>
          <t>[주제탐구] 자료 1개
· ① 연합뉴스 「20주년 서태지와 아이들, 음악 넘어 문화 혁명」(제목 일부 판독 어려움): 1990년대 초 서태지와 아이들이 등장하면서 한국 대중음악에 랩·댄스·힙합·록·국악 결합 등 새로운 스타일이 나타났고, 기존 발라드 중심 음악에서 젊은 세대 중심의 새로운 음악으로 변화하는 계기가 됨</t>
        </is>
      </c>
      <c r="E15" s="5" t="inlineStr">
        <is>
          <t>P-2 활동지는 미제출이었으나, 1차시 주제(시대에 따른 음악 스타일의 변화)에 맞는 자료로 이어서 작업함. 자료가 1개뿐이고 2차시 탐구 질문이 없으므로 질문 정리부터 보충할 필요가 있음.</t>
        </is>
      </c>
      <c r="F15" s="5" t="inlineStr">
        <is>
          <t>자료 ②~⑤, 나의 생각/메모 미기재 / P-2 탐구계획서 미제출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11211 손지훈)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않음. 필체가 흘려 쓴 곳이 많아 일부 내용은 판독이 어려움.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48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내가 좋아하는 과목은 체육, 힘이 세다, 어릴 때 줄넘기 선수(?)였다, 여자친구가 있다, 중학교 때 공부를 잘했다(?), 먹는 걸 좋아한다 등(일부 판독 어려움)
· 질문지: 진로를 자신 있게 말할 수 있다 '매우 그렇다' / 꿈을 위해 노력 '그렇다' / 가족과 대화 '그렇다' / 필요한 공부 알고 노력 '그렇지 않다' / 상담 경험 '매우 그렇다' / 상담 상대: 학원 강사
· 진로 결정 시 중요: 나의 소질과 적성 / 정보 탐색: 인터넷 / 노력: 다양한 진로 체험 활동 / 어려운 점: 진로 체험 기회가 부족해서
· 약속: ★존중 — '나의 꿈처럼 남의 꿈도 쉽게 결정한 것이 아니기에 존중해야 한다고 생각해서'
· 깨달은 점: '진로 시간에 어떤 활동을 하는지 알았고 집중해서 열심히 들어야겠다' / 다섯 글자 다짐: '매 순 열 심 히'(일부 판독 어려움)</t>
        </is>
      </c>
      <c r="E5" s="5" t="inlineStr">
        <is>
          <t>진로 자신감은 높지만 '필요한 공부를 알고 노력한다'는 '그렇지 않다'로 응답함. 친구의 꿈을 존중해야 한다는 이유가 성숙함.</t>
        </is>
      </c>
      <c r="F5" s="5" t="inlineStr">
        <is>
          <t>진진가 퀴즈 정답·인사, 진로수업에 바라는 것 미기재</t>
        </is>
      </c>
    </row>
    <row r="6" ht="164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 / 정시: 수능 / 내신 5등급제, 1등급 상위 10%, 수행+지필, 수행평가 비중 높음
· 졸업 192학점, 2학년부터 진로에 맞게, 1학년 여름방학 전 진로 정하기
· 학종 정성평가 대상: 세특(과정) / 세특 = 세부능력 및 특기사항, 태도: '수업에 적극적으로 참여'
· 창체: 자율·자치, 동아리(일부 판독 어려움) / 행동특성 및 종합의견 / 2028 수능: 공통, 통합사회·통합과학, 정시 반영 요소 'O'</t>
        </is>
      </c>
      <c r="E6" s="5" t="inlineStr">
        <is>
          <t>대부분 채움.</t>
        </is>
      </c>
      <c r="F6" s="5" t="inlineStr">
        <is>
          <t>7번 고교 생활 전략, 8번 '활동 후 나의 다짐' 미기재</t>
        </is>
      </c>
    </row>
    <row r="7" ht="122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183명(판독 어려움), 4등급 249명까지 — 계산식 작성
· 목표 점수: 공통국어 40, 공통수학 42(?), 공통영어 40, 한국사 40, 통합사회 40, 통합과학 80(빨간 동그라미 표시)
· 시험 계획: 4/14 통합과학 칸에 '빅뱅 ○○ 강의 들으며 정리'(일부 판독 어려움)만 작성</t>
        </is>
      </c>
      <c r="E7" s="5" t="inlineStr">
        <is>
          <t>목표 점수를 대부분 40점대로 낮게 잡고 통합과학만 80점으로 설정함. 시험 계획은 통합과학 한 칸뿐임.</t>
        </is>
      </c>
      <c r="F7" s="5" t="inlineStr">
        <is>
          <t>3번 변수 문항, 4번 느낀 점, 통합과학 외 계획 미기재</t>
        </is>
      </c>
    </row>
    <row r="8" ht="178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①용감성(안중근 / 소방관·경찰관 등, 판독 어려움) ②끈기(세종대왕 / 반려동물 행동교정 전문가·운동선수·연주가·동물사육사) ③감정회복력(헬렌 켈러 / 스포츠 카운슬러·정신과 의사·사회복지사)
· 핵심 강점 '끈기' 연관어: 운동선수, 세종대왕, 연주가, 노력, 성공, 동물사육사, 회복(?) 등(일부 지우고 고쳐 씀)
· 희망 전공: 무용·체육, 초·중등교육, 국어국문학(?) / 추천 전공: 무용·체육, 복지·상담, 유아·특수교육 / 가장 선호 계열: 예체능 계열
· 관련 직업·학과: 스포츠 트레이너·운동선수 등, 체육학과 등(판독 어려움)</t>
        </is>
      </c>
      <c r="E8" s="5" t="inlineStr">
        <is>
          <t>희망 1순위와 추천 1순위가 모두 무용·체육으로 일치함.</t>
        </is>
      </c>
      <c r="F8" s="5" t="inlineStr">
        <is>
          <t>강점 강화 방안, 일치 여부 서술, 선호 직무 유형·직업 가치 미기재 / 이름 공란</t>
        </is>
      </c>
    </row>
    <row r="9" ht="234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운동선수(종목에서 좋은 성과를 내기 위해 체계적으로 훈련 / 뛰어난 체력·운동기술, 끈기 / 스포츠학과·체육교육과 등), 스포츠 트레이너(운동선수의 체력 향상·부상 예방 지도 / 운동 지식, 책임감, 의사소통능력 / 스포츠재활학과 등), 사회복지사(도움이 필요한 사람들을 상담하고 지원 / 공감 능력, 책임감 / 사회복지학과 등), 경호원(사람과 재산을 위험으로부터 보호 / 강한 체력, 판단력, 책임감 / 경호학과·경찰행정학과 등)
· 준결승: 운동선수 vs 경호원 → 최종 '경호원' — '남을 도와주고 지켜주는 것에 가치를 느껴서'(일부 판독 어려움)
· 가치관 비교: '경호원은 사람의 안전을 지키고 보호하는 일이 중요하기 때문에 돌봄형 직무와 사회봉사를 중요하게 생각하는 나의 직업 가치관과 잘 맞는다고 생각한다'(일부 판독 어려움)</t>
        </is>
      </c>
      <c r="E9" s="5" t="inlineStr">
        <is>
          <t>체육 계열 직업 안에서 비교하며 '지켜주는 일'이라는 가치 기준으로 경호원을 고름. 4개 직업 정보를 빽빽하게 채움.</t>
        </is>
      </c>
      <c r="F9" s="5" t="inlineStr">
        <is>
          <t>포기 이유 일부 판독 어려움 / 미래 명함 미작성</t>
        </is>
      </c>
    </row>
    <row r="10" ht="164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생활체육학과 / 관심 대학: 가천대
· 학과 개요: 체계적인 운동, 생활 속 스포츠 등을 배우는 학과(대부분 판독 어려움)
· 연결 포인트: '운동하는 걸 좋아하고 누군가를 도와주는 걸 좋아해서'(일부 판독 어려움)
· 고교 과목: 체육, 운동과 건강 등 / 대학 교과목: 운동생리학, 스포츠 관련 과목(판독 어려움)
· 자격증: 스포츠 관련 / 진출: 스포츠 트레이너, 경호원, 코치, 체육교사
· 노력할 것: '운동 꾸준히 하기, 체육 성적 올리기'(판독 어려움)</t>
        </is>
      </c>
      <c r="E10" s="5" t="inlineStr">
        <is>
          <t>체육 계열로 일관됨.</t>
        </is>
      </c>
      <c r="F10" s="5" t="inlineStr">
        <is>
          <t>학과 개요·교과목 대부분 판독 어려움 / 학과 전망 미기재</t>
        </is>
      </c>
    </row>
    <row r="11" ht="80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표를 작성했으나 필체가 흘려져 있어 대부분 판독 어려움(모집 인원 4·4·6·4 등 확인됨)</t>
        </is>
      </c>
      <c r="E11" s="5" t="n"/>
      <c r="F11" s="5" t="inlineStr">
        <is>
          <t>반영 교과 표, 2번 step1·step2 미기재 / 판독 어려움</t>
        </is>
      </c>
    </row>
    <row r="12" ht="164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'운동선수' 부분 수정 / 7차시 '체육교육과' 완전히 바뀜 / 8차시 '가천대' 그대로 유지
· 최종 목표: 예체능 / 운동선수 / 체육교육과 / 가천대
· 과목 선택 연결 포인트: 국어 — 국제 ○○(판독 어려움), 수학 — 기초, 사회 — ○○ 윤리, 과학 — 생명과학·생활과 운동(?), 기타 — 체육 관련(판독 어려움)
· 2학기 다짐: '더욱 공부를 열심히 하고 건강하게 그 결과를 증명하겠다'(일부 판독 어려움)</t>
        </is>
      </c>
      <c r="E12" s="5" t="inlineStr">
        <is>
          <t>1학기 내내 체육 계열로 일관됨(운동선수·경호원·체육교육과). 그런데 P-1 계획서의 관심 분야에는 '조리'로 읽히는 단어가 있어, 판독 오류이거나 2학기에 관심이 바뀐 것일 수 있음. 원본 확인 필요.</t>
        </is>
      </c>
      <c r="F12" s="5" t="inlineStr">
        <is>
          <t>바뀐/유지 이유, 선택할 과목, 대입 전형 연계 미기재 / 과목 설계 대부분 판독 어려움</t>
        </is>
      </c>
    </row>
    <row r="13" ht="195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2025 농업생명과학대학 스마트시스템과학과(2조)
· 학업역량: A&gt;C&gt;B — 이유: A가 과학 성적이 처음부터 높았다(일부 판독 어려움)
· 진로역량: B&gt;A&gt;C(고쳐 씀) — 이유: 과학 창의활동 등에 열정적으로 참여함(처음 쓴 문장은 지움, 일부 판독 어려움)
· 공동체역량: C&gt;B&gt;A — 이유: '친구들과 동아리 부원들과 협력하는 것이 많고 학생들이 잘 따름'
· 조별 예상 순위: C-B-A / 결과 확인: C-B-A → 일치
· 느낀 점: '세상은 성적순 같다.'
· 배운 점: 모든 걸 열심히 하는 게 좋을 것 같다(일부 판독 어려움)</t>
        </is>
      </c>
      <c r="E13" s="5" t="inlineStr">
        <is>
          <t>조별 예상과 결과가 일치함. 공동체역량 근거가 구체적임. 느낀 점은 성적 중심.</t>
        </is>
      </c>
      <c r="F13" s="5" t="inlineStr">
        <is>
          <t>진로역량 순위·이유, 배운 점 일부 판독 어려움(원본 확인 필요)</t>
        </is>
      </c>
    </row>
    <row r="14" ht="220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① 주제탐구(체크 흐림)
· 선택 이유: '진로가 확실히 정해져 있고 내가 정한 직업에 대한 자료와 변화를 조사해보고 발표하고 싶어서'
· 관심 분야: ②조리(①·③ 판독 어려움)
· 잠정 주제: '… 관련 직업 전망·필요 역량과 적성 영향'(앞부분 판독 어려움)
· 주제 선택 이유: '진로도 정해져 있기 때문에 이 주제를 통해 자료 조사·발표 같은 탐구 능력을 보여주고 싶음'(일부 판독 어려움)
· 계획: 2차시 자료 찾기(2차시 계획서) → 3차시 자료 분석(분석 결과물) → 4차시 필요한 자료 정리(최종 분석 결과물) → 5차시 추가 검색(탐구계획서) → 6차시 PPT 제작(완성 PPT)
· 다짐: 판독 어려움</t>
        </is>
      </c>
      <c r="E14" s="5" t="inlineStr">
        <is>
          <t>진로가 '확실히 정해져 있다'고 밝힘(조리 계열로 보임). 11209 백주호와 계획 구성이 거의 같음.</t>
        </is>
      </c>
      <c r="F14" s="5" t="inlineStr">
        <is>
          <t>관심 분야 ①·③, 잠정 주제 일부, 다짐 판독 어려움(원본 확인 필요) / 7차시 계획·자가 점검 미기재</t>
        </is>
      </c>
    </row>
    <row r="15" ht="165" customHeight="1">
      <c r="A15" s="4" t="inlineStr">
        <is>
          <t>P-2</t>
        </is>
      </c>
      <c r="B15" s="5" t="inlineStr">
        <is>
          <t>진로 프로젝트 2차시(주제탐구): 탐구 방법 안내 &amp; 탐구계획서</t>
        </is>
      </c>
      <c r="C15" s="5" t="inlineStr">
        <is>
          <t>통계·기사·논문·기관 사이트 등 자료원 안내, 핵심 탐구 질문과 하위 질문 3개 작성, 활용할 자료원 정리</t>
        </is>
      </c>
      <c r="D15" s="5" t="inlineStr">
        <is>
          <t>[주제탐구] 11209 백주호와 공동
· 핵심 질문: '강사가 갖춰야 할 덕목, 역량'
· 하위 ①: 강사가 갖춰야 할 기본적인 덕목이 무엇인가?
· 하위 ②: 강사에게 필요한 전문적인 역량은?
· 하위 ③: 강사의 덕목이 훈련생들에게 어떤 영향을 끼치는가?
· 자료원: 전문 강사의 인식 내용, 기사, 논문</t>
        </is>
      </c>
      <c r="E15" s="5" t="inlineStr">
        <is>
          <t>1차시 기록('조리 관련 직업 전망'으로 판독)과 주제가 달라, 짝 백주호와 함께 강사 덕목(합기도)으로 바꾼 것으로 보임. 1차시 판독이 맞았는지, 진로가 바뀐 것인지 확인해 볼 만함.</t>
        </is>
      </c>
      <c r="F15" s="5" t="inlineStr">
        <is>
          <t>필체가 흘려 쓰여 일부 판독 어려움(원본 확인 필요) / 1차시 주제와 다름</t>
        </is>
      </c>
    </row>
    <row r="16" ht="301" customHeight="1">
      <c r="A16" s="4" t="inlineStr">
        <is>
          <t>P-3</t>
        </is>
      </c>
      <c r="B16" s="5" t="inlineStr">
        <is>
          <t>진로 프로젝트 3차시(주제탐구): 자료 수집</t>
        </is>
      </c>
      <c r="C16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6" s="5" t="inlineStr">
        <is>
          <t>[주제탐구] 자료 4개(필체가 흘려 쓰여 출처명 일부 판독 어려움)
· ① 전북교육신문 '스포츠 강사의 핵심 자질과 역량'(추정): 스포츠 강사가 갖춰야 할 역량 중 가장 중요한 것은 전문성이며, 아이들이 신뢰할 수 있어야 함
· ② 스포츠 관련 매체 '스포츠 지도자가 갖춰야 할 네 가지 자질': 선수를 지도하는 지도자가 갖춰야 할 덕목은 인성·존중·감정 조절이며, 그래야 선수들이 존경함
· ③ 플랫폼 '스포츠 강사 가능성 및 기타'(출처명 판독 어려움): 일반인·체험자를 대상으로 즐겁고 재밌게 운동하는 방법과 체계적인 교육을 통해 사람들의 건강을 책임짐
· ④ ○○뉴스 '스포츠 활동이 청소년에게 미치는 영향': 스포츠 강사가 청소년에게 주는 영향은 자신감·성취감을 높이고 신체적 성장뿐 아니라 사회적으로도 성장시켜 줌</t>
        </is>
      </c>
      <c r="E16" s="5" t="inlineStr">
        <is>
          <t>2차시 탐구 질문(강사가 갖춰야 할 덕목과 역량)에 맞춰 자료 4개를 고르게 모음. 1차시 '조리' 관심에서 2차시부터 스포츠 강사로 주제를 바꾼 뒤 방향이 유지되고 있음. 짝 백주호보다 수집량이 많음.</t>
        </is>
      </c>
      <c r="F16" s="5" t="inlineStr">
        <is>
          <t>자료 ⑤, 나의 생각/메모 미기재 / 출처명(①~④) 일부 판독 어려움(원본 확인 필요)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11212 심민주)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1-3, 1-6차시 활동지가 포함되어 있지 않음. P-1 계획서 묶음에는 이 학생의 활동지가 없었음(결석·미제출 확인 필요). P-2 활동지는 제출함.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62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진진가 퀴즈 정답: 3, 2
· 자기소개 문제: 비행기를 타 본 적이 없다, 외동이다, 가장 좋아하는 과목은 영어다, 예전에 동물을 키웠었다, 내 희망 진로는 외교관이다, 가장 친한 친구는 5년 이상 됐다
· 질문지: 진로 자신감·꿈을 위한 노력·가족과 대화·필요한 공부 알고 노력 모두 '매우 그렇다' / 상담 경험 '그렇다' / 상담 상대: 교사, 부모·친척
· 진로 결정 시 중요: 나의 소질과 적성 / 정보 탐색: 인터넷, 진로 상담 / 노력: 틈틈이 정보 수집 / 어려운 점: 진로 체험 기회가 부족해서
· 진로수업에 바라는 것: '더 다양하고 많은 직업을 배울 수 있는 기회가 있으면 좋겠습니다'
· 약속: ★적극 — '활동에 적극적으로 참여해야 나중에 배운 것이 기억에 남기 때문입니다'
· 깨달은 점: '이번 학기에 할 활동과 진로 상담을 받으면 어떻게 해야 하는지를 알았습니다' / 다섯 글자 다짐: '열심히 하기'</t>
        </is>
      </c>
      <c r="E5" s="5" t="inlineStr">
        <is>
          <t>학기 초부터 진로 확신이 매우 높고 가족과의 진로 대화도 활발함. 영어를 가장 좋아하고, 처음엔 외교관이 희망 진로였음.</t>
        </is>
      </c>
      <c r="F5" s="5" t="n"/>
    </row>
    <row r="6" ht="164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 / 정시: 수능 / 내신 5등급제, 1등급 상위 10%, 지필+수행, 수행평가 비중 높음
· 졸업 192학점(174+18), 2학년부터 희망 진로에 맞게, 1학년 여름방학 전 진로 정하기
· 학종 정성평가 대상: 과정 / 세특 = 교과 세부능력 및 특기사항, 태도: '수업에 적극적으로 참여(발표, 질문, 과제 성실 수행)'
· 창체: 자율, 동아리 / 행동특성 및 종합의견 / 2028 수능: 공통, 통합사회·통합과학, 내신·생기부 반영 / 역전, 주도성</t>
        </is>
      </c>
      <c r="E6" s="5" t="inlineStr">
        <is>
          <t>빈칸을 빠짐없이 정확하게 채움. 학점 구성(174+18)까지 메모함.</t>
        </is>
      </c>
      <c r="F6" s="5" t="inlineStr">
        <is>
          <t>8번 '활동 후 나의 다짐' 미기재</t>
        </is>
      </c>
    </row>
    <row r="7" ht="220" customHeight="1">
      <c r="A7" s="4" t="inlineStr">
        <is>
          <t>1-4</t>
        </is>
      </c>
      <c r="B7" s="5" t="inlineStr">
        <is>
          <t>자기 이해 검사 종합하기</t>
        </is>
      </c>
      <c r="C7" s="5" t="inlineStr">
        <is>
          <t>POWER UP 강점진로검사(강점·핵심 강점 강화), MIT 전공흥미검사(희망 vs 추천 전공 비교), 선호 직무 유형·직업 가치</t>
        </is>
      </c>
      <c r="D7" s="5" t="inlineStr">
        <is>
          <t>· 강점: ①개방성(파블로 피카소 / 글로벌 홍보전문가·다문화 언어교사·융합형 디자이너) ②신중성(제갈공명 / 스마트 재난관리 전문가·리스크 관리 전문가 등) ③계획성(벤자민 프랭클린 / 데이터 아키텍처 전문가·행정가·회계사)
· 핵심 강점 '계획성' 연관어: 달력, 정리, 일정, 순서, 효율, 시간, 실천, 체계 / 강화 방안: '우선순위에 따라 계획 짜기, 해야 할 일 미리 적기, 장기적 목표와 단기 목표를 세워 실천 등'
· 희망 전공: 외국어문학, 국어국문학, 초·중등교육 / 추천 전공: 외국어문학, 국어국문학, 초·중등교육 → 모두 일치 / 가장 선호 계열: 인문계열
· 일치 여부: '모두 일치한다' / 선호 직무 유형: 글로벌형 / 직업 가치: 경제적 풍족(글로벌형 지움) &gt; 사회적 인정 &gt; 안정성</t>
        </is>
      </c>
      <c r="E7" s="5" t="inlineStr">
        <is>
          <t>희망 전공과 추천 전공이 1~3순위까지 완전히 일치함. 계획성 강화 방안이 구체적임.</t>
        </is>
      </c>
      <c r="F7" s="5" t="n"/>
    </row>
    <row r="8" ht="360" customHeight="1">
      <c r="A8" s="4" t="inlineStr">
        <is>
          <t>1-5</t>
        </is>
      </c>
      <c r="B8" s="5" t="inlineStr">
        <is>
          <t>최고 관심 직업 선정하기</t>
        </is>
      </c>
      <c r="C8" s="5" t="inlineStr">
        <is>
          <t>4차시 결과를 바탕으로 관심 직업 4개 정보 수집, 토너먼트로 최고 관심 직업 선정, 직업 가치관과 비교, 미래 명함 만들기</t>
        </is>
      </c>
      <c r="D8" s="5" t="inlineStr">
        <is>
          <t>· 4개 직업: 외국어 강사(언어 능력 향상 및 시험 대비를 위해 수업하며 학생들에게 외국어를 가르치고 말하기·듣기·읽기·쓰기 능력을 키워줌 / 의사소통능력, 리더십, 감정관리 능력, 문제해결 능력 등 → 교원자격증 등 / 영어교육학과·국어교육학과 등), 중고등학교 교사(학생들에게 교과 내용을 가르치고 학습지도·진로지도 등 / 의사소통능력, 책임감, 인내심, 전문지식 → 교원자격증 / 국어교육과·영어교육과 등), 통역가(서로 다른 언어를 사용하는 사람들의 말을 실시간으로 옮겨 원활한 의사소통을 도움 / 외국어 능력, 이해력, 집중력, 의사소통능력 → 자격증 이수 / 통번역학과·영어영문학과 등), 교육학 연구원(효과적인 교육 방법을 연구 / 논리적 사고력, 분석력, 창의력 등 → 대학원 이수 / 교육학과 등)
· 준결승: 외국어 강사('누군가를 가르치고 외국어를 배우는 것을 좋아하기 때문') vs 교육학 연구원('교육에 대해 깊이 알고 분석하는 것을 좋아하기 때문') → 최종 '외국어 강사' — '누군가를 가르치고 이해시키며 지도하는 것을 좋아하기 때문, + 외국어를 배우는 것을 좋아하기 때문' / 포기 이유: '연봉이 걱정되어서'
· 가치관 비교: '외국어 강사는 나의 선호 직무 유형인 외국어 문학, 국어국문학, 교육 등과 같은 언어를 배우고 가르치는 능력과 관련이 있어 외국어 강사가 더 잘 어울린다고 생각한다'</t>
        </is>
      </c>
      <c r="E8" s="5" t="inlineStr">
        <is>
          <t>4개 직업마다 필요 자격까지 적은, 반에서 가장 꼼꼼한 1-5 활동지 중 하나. 교육학 연구원을 '연봉이 걱정되어서' 포기한 점은 직업 가치 1순위(경제적 풍족)와 연결됨.</t>
        </is>
      </c>
      <c r="F8" s="5" t="inlineStr">
        <is>
          <t>미래 명함 미작성</t>
        </is>
      </c>
    </row>
    <row r="9" ht="220" customHeight="1">
      <c r="A9" s="4" t="inlineStr">
        <is>
          <t>1-7</t>
        </is>
      </c>
      <c r="B9" s="5" t="inlineStr">
        <is>
          <t>희망 학과(전공) 탐색하기</t>
        </is>
      </c>
      <c r="C9" s="5" t="inlineStr">
        <is>
          <t>2인 1조로 같은 학과를 커리어넷·고용24 등에서 탐색해 학과 개요·교육과정·진로 정보 정리</t>
        </is>
      </c>
      <c r="D9" s="5" t="inlineStr">
        <is>
          <t>· 탐색 학과: 영어영문학과 / 관심 대학: 한국외국어대학교
· 학과 개요: '영어와 이를 기반으로 하며 문학, 문화, 역사를 연구하는 학문이다'
· 연결 포인트: '영어가 시대에 따라 변화하는 과정을 찾는 걸 좋아함 → 현대영어 신조어 생성과 고대 영어'
· 고교 과목: 영어, 국어, 사회 / 대학 교과목: 영어문법, 고대영미소설, 영어학개론
· 자격증: 영어능력시험(토익 등), 관광통역안내사, 실용영어, 무역영어 등 / 진출: 번역가, 외교관, 교사, 외국계 기업
· 노력할 것: '영어(원어민) 학원에 다니며 스피킹·리스닝 능력을 키우기, 내 진로에 관련한 책 읽고 감상문 쓰기'</t>
        </is>
      </c>
      <c r="E9" s="5" t="inlineStr">
        <is>
          <t>영어의 역사적 변화(신조어·고대 영어)라는 본인만의 탐구 관심사를 찾아냄. 외교관·통역·교육을 아우르는 방향이 일관됨.</t>
        </is>
      </c>
      <c r="F9" s="5" t="inlineStr">
        <is>
          <t>학과 전망 미기재</t>
        </is>
      </c>
    </row>
    <row r="10" ht="136" customHeight="1">
      <c r="A10" s="4" t="inlineStr">
        <is>
          <t>1-8</t>
        </is>
      </c>
      <c r="B10" s="5" t="inlineStr">
        <is>
          <t>나의 대학 진학 설계(대입 전형 유형 분석)</t>
        </is>
      </c>
      <c r="C10" s="5" t="inlineStr">
        <is>
          <t>조별 사전 연습(동국대 수학과 전형 분석), 전형 유형별 나의 경쟁력 별점, 희망 대학 2028 시행계획 보고 수시·정시 전형 1개씩 선택</t>
        </is>
      </c>
      <c r="D10" s="5" t="inlineStr">
        <is>
          <t>· 사전 연습(동국대 수학과) 표 작성: 학생부교과 4명(교과 70%+교과 관련 서류 종합 평가 30%, 최저 미적용), 학생부종합 9명(1단계 서류 100%, 2단계 면접 40%+1단계 성적 60%, 최저 미적용), 논술 5명(학생부 30%: 교과 20%+출결 10%, 논술 70%(?), 최저 적용), 정시 9명(수능 80%+학생부평가 20%, 미적용)
· 논술 반영 교과: 국·수·영·사·과, 공통과목 제외 성취도(판독 어려움)</t>
        </is>
      </c>
      <c r="E10" s="5" t="inlineStr">
        <is>
          <t>사전 연습 표를 정확히 작성함.</t>
        </is>
      </c>
      <c r="F10" s="5" t="inlineStr">
        <is>
          <t>2번 step1·step2 미기재</t>
        </is>
      </c>
    </row>
    <row r="11" ht="248" customHeight="1">
      <c r="A11" s="4" t="inlineStr">
        <is>
          <t>1학기 최종</t>
        </is>
      </c>
      <c r="B11" s="5" t="inlineStr">
        <is>
          <t>1학기 진로수업 마무리 활동지(진로 점검 &amp; 과목 선택 최종 설계)</t>
        </is>
      </c>
      <c r="C11" s="5" t="inlineStr">
        <is>
          <t>5·7·8차시 돌아보기, 1학기 마무리 기준 최종 진로 목표, 2·3학년 과목 선택 설계, 대입 전형 연계, 2학기 다짐</t>
        </is>
      </c>
      <c r="D11" s="5" t="inlineStr">
        <is>
          <t>· 돌아보기: 5차시 '영어강사(학원)'·7차시 '영어영문학과(ELLT학과)'·8차시 '한국외국어대학교' 모두 그대로 유지 — 이유 '영어 및 영어교육에 꾸준히 관심을 가지고 있기 때문입니다'
· 최종 목표: 영어강사 → 교육, 언어, 영어 계열 / 영어강사 / 영어영문학과(ELLT학과) / 한국외국어대학교
· 과목 선택: 국어(토론·화법) — 일반: 화법과 언어 / 수학(진로: 영어 수학(?)·심화영어독해와 작문, 일반: 실생활 영어 회화 — 판독 일부 어려움) / 영어(전공에 가까움) — 일반: 독서와 토론(?) / 사회(탐구) — 진로: 국제 관계의 이해 / 과학(융합) — 과학의 역사와 문화 / 기타 — 제2외국어: 제2외국어 회화, 교양: 교육의 이해
· 대입: 수시 학생부종합·논술·실기/실적, 정시 실기/실적 / 2학기 집중 과제: '성적 향상' / 2학기 다짐: '공부하자'</t>
        </is>
      </c>
      <c r="E11" s="5" t="inlineStr">
        <is>
          <t>1학기 내내 영어·영어교육으로 진로가 일관되고, 과목 선택 설계를 영역별로 '일반/진로/융합'까지 구분해 작성한 모범 사례. P-1 계획서가 없어 참여 여부 확인이 필요함.</t>
        </is>
      </c>
      <c r="F11" s="5" t="inlineStr">
        <is>
          <t>수학 영역 선택 과목 일부 판독 어려움</t>
        </is>
      </c>
    </row>
    <row r="12" ht="209" customHeight="1">
      <c r="A12" s="4" t="inlineStr">
        <is>
          <t>2-2</t>
        </is>
      </c>
      <c r="B12" s="5" t="inlineStr">
        <is>
          <t>나도 입학사정관(서울대 합격생 학생부 평가)</t>
        </is>
      </c>
      <c r="C12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2" s="5" t="inlineStr">
        <is>
          <t>· 평가 사례: 2025 소비자학전공(3조)
· 학업역량: B&gt;A&gt;C — 이유: '1~3학년까지 높은 성적을 유지하는 모습을 보임.'
· 진로역량: C&gt;B&gt;A — 이유: '부족한 과목을 책이나 보고서 등으로 채워 성실함을 보임.'
· 공동체역량: B&gt;C&gt;A — 이유: '동아리 부장, 학급 반장 등을 통해 리더십을 증명함.'
· 조별 예상 순위: B-C-A / 결과 확인: B-C-A → 일치
· 느낀 점: '성적뿐만 아니라 각 학생의 역량 또한 중요하다는 것을 깨달았다. 선택한 학과와 생활기록부의 통일감도 중요한 것 같다.'
· 배운 점: '생기부를 볼 때는 성적만 중요한 줄 알았는데 역량과 과목, 능력을 함께 본다는 것을 알았다.'</t>
        </is>
      </c>
      <c r="E12" s="5" t="inlineStr">
        <is>
          <t>조별 예상과 결과가 일치함. 3개 역량 근거가 모두 구체적이고, '학과와 생기부의 통일감'까지 짚어 반에서 가장 완성도가 높은 편.</t>
        </is>
      </c>
      <c r="F12" s="5" t="n"/>
    </row>
    <row r="13" ht="260" customHeight="1">
      <c r="A13" s="4" t="inlineStr">
        <is>
          <t>P-2</t>
        </is>
      </c>
      <c r="B13" s="5" t="inlineStr">
        <is>
          <t>진로 프로젝트 2차시(주제탐구): 탐구 방법 안내 &amp; 탐구계획서</t>
        </is>
      </c>
      <c r="C13" s="5" t="inlineStr">
        <is>
          <t>통계·기사·논문·기관 사이트 등 자료원 안내, 핵심 탐구 질문과 하위 질문 3개 작성, 활용할 자료원 정리</t>
        </is>
      </c>
      <c r="D13" s="5" t="inlineStr">
        <is>
          <t>[주제탐구] 짝 없음
· 핵심 질문: '영미 텍스트의 한국어 번역 과정에서 생기는 문화적 등가성(cultural equivalence)의 한계와 문화번역(cultural translation)의 전략은 무엇인가?' (참고: 『번역가의 보이지 않는 손』(로렌스 베누티), 『번역학 입문』(제레미 먼데이) 등)
· 하위 ①: 영미 문학·대중문화 텍스트의 문화 특수 어휘(culture-specific items)와 은유 표현은 한국어로 어떻게 번역되었는가?
· 하위 ②: 직역을 넘어 문화적 맥락을 전하는 문화번역 과정에서 원문의 수사적 효과나 정서적 함축은 어떻게 반영되는가? (출처: 학술지 번역학연구·통번역학연구, DBpia/RISS)
· 하위 ③: AI 번역기(DeepL, ChatGPT 등)와 인간 번역가의 실제 번역 사례를 비교할 때, AI가 문화적 맥락과 뉘앙스를 포착하는 데 갖는 한계는 무엇인가?
· 자료원: DBpia·RISS(학술논문), 넷플릭스(매체), 번역학연구·통번역학연구</t>
        </is>
      </c>
      <c r="E13" s="5" t="inlineStr">
        <is>
          <t>1차시 계획서는 제출하지 않았지만 2차시에 매우 전문적인 탐구계획서를 씀. 참고 문헌과 학술지까지 적어 반에서 가장 수준이 높은 편. 1학기 영어·영문학 진로와 일관됨. 트랙 선택·8차시 계획(1차시)은 보충 필요.</t>
        </is>
      </c>
      <c r="F13" s="5" t="inlineStr">
        <is>
          <t>1차시 계획서 미제출(보충 필요) / 하위 ① 괄호 안 용어 일부 판독 어려움</t>
        </is>
      </c>
    </row>
    <row r="14" ht="330" customHeight="1">
      <c r="A14" s="4" t="inlineStr">
        <is>
          <t>P-3</t>
        </is>
      </c>
      <c r="B14" s="5" t="inlineStr">
        <is>
          <t>진로 프로젝트 3차시(주제탐구): 자료 수집</t>
        </is>
      </c>
      <c r="C14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4" s="5" t="inlineStr">
        <is>
          <t>[주제탐구] 자료 5개 + 보고서 구성 메모
· ① 로렌스 베누티 『번역가의 보이지 않음(The Translator's Invisibility)』(Wayne State University Digital Commons 원문): 번역문이 매끄럽고 자연스러울수록 번역가의 존재와 원문의 문화적 이질성이 사라지는 점을 비판하고, 원작의 낯설고 독창적인 결을 살려 번역가의 주체성과 문화적 다양성을 드러내야 한다고 주장(문화번역) → 보고서 서론에서 개념 정리에 사용 예정
· ② 제레미 먼데이 『번역학 입문(Introducing Translation Studies)』(Internet Archive): 등가성·이국화·자국화를 분석하고, 텍스트가 다른 언어·문화권으로 전환·재해석되는 언어적·문화적 메커니즘을 다룸 → 본론에서 문화적 등가성, 문화 특수 어휘 다루기
· ③ 넷플릭스 사례 찾기: 영미권 작품 속 유머·관용구의 번역된 표현 분석 → 문화번역·자국화 비교
· ④ AI(DeepL·ChatGPT·구글 번역기)를 실험 도구로: 문화적 맥락·관용구가 강하게 들어간 영미 대사 5~10개를 세 번역기에 입력 → 인간 번역가와 비교·대조(뉘앙스, 자국화 번역의 한계)
· ⑤ 민음사·문학동네 『위대한 개츠비』·『제인 에어』 등: 출판사별 같은 책의 번역 비교(자국화 vs 문화번역 중 무엇이 쓰였는지, 한계·뉘앙스 보존)
· 메모: 보고서 구성 — ① 서론: 문화적 등가성·문화번역 등 개념 ② 본론: 비교 분석 자료 제시, 자국화 등 → 실험 ③ 결론: 나의 주장</t>
        </is>
      </c>
      <c r="E14" s="5" t="inlineStr">
        <is>
          <t>반에서 가장 완성도 높음. 원서급 이론서 2권과 사례(넷플릭스), AI 번역기 비교 실험, 출판사별 번역본 비교까지 자료마다 보고서 어디에 쓸지 계획해 둠. 2차시 탐구 질문(문화적 등가성과 문화번역 전략)과 완전히 이어짐.</t>
        </is>
      </c>
      <c r="F14" s="5" t="inlineStr">
        <is>
          <t>없음(여백 메모 일부 판독 어려움)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11213 안정연)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않음. 1-1·1-2·1-3·1-4·1-8 활동지는 이름(일부는 학번도)이 비어 있으나 개인 파일에 들어 있어 이 학생 것으로 정리함.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164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질문지: 진로를 자신 있게 말할 수 있다 '보통' / 꿈을 위한 노력·가족과 대화·필요한 공부 알고 노력·상담 경험 모두 '그렇지 않다' / 상담 상대: 부모·친척
· 진로 결정 시 중요: 나의 소질과 적성 / 정보 탐색: 인터넷 / 노력: 틈틈이 정보 수집 / 어려운 점: 나의 특성을 몰라서
· 약속: ★적극 — '활동에 적극적으로 참여하면서 얻는 것도 많아질 수 있기 때문이다'
· 깨달은 점: '진로에 대한 생각을 많이 할 것 같다' / 다섯 글자 다짐: '제발 잘하자'</t>
        </is>
      </c>
      <c r="E5" s="5" t="inlineStr">
        <is>
          <t>진로 탐색 문항 대부분을 '그렇지 않다'로 응답함.</t>
        </is>
      </c>
      <c r="F5" s="5" t="inlineStr">
        <is>
          <t>진진가 퀴즈·자기소개, 진로수업에 바라는 것 미기재 / 이름 공란</t>
        </is>
      </c>
    </row>
    <row r="6" ht="164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최저학력 / 정시: 수능 / 내신 5등급제, 1등급 상위 10%, 지필+수행, 수행평가 비중 높음
· 졸업 192학점, 2학년부터 희망 진로에 맞게, 1학년 여름방학 전 진로 정하기
· 학종 정성평가 대상: 과정 / 세특 = 세부능력 및 특기사항, 태도: '수업에 적극적으로 참여' / 창체: 자율, 동아리 / 행동특성 및 종합의견
· 2028 수능: 공통, 통합사회·통합과학, 내신·생기부 반영 / 역전 요소: '세특', 필수 태도: '과정'</t>
        </is>
      </c>
      <c r="E6" s="5" t="inlineStr">
        <is>
          <t>대부분 정확하게 채움(7번은 '역전·주도성' 대신 '세특·과정'으로 적음).</t>
        </is>
      </c>
      <c r="F6" s="5" t="inlineStr">
        <is>
          <t>8번 '활동 후 나의 다짐' 미기재 / 학번·이름 공란</t>
        </is>
      </c>
    </row>
    <row r="7" ht="136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등급 결정 변수: 동점자 '2등급', 대학이 깊게 보는 항목 '세특'
· 목표 점수: 통합사회 80점
· 시험 계획(통합사회만): 4/13 범위 다 읽어보기 → 4/14 복습하면서 외우기 → 4/15 문제 풀기·복습하기 → 4/16~17 범위 공부한 것 정리·문제 풀기 → 4/18 정리한 것 읽어보기·복습 → 4/19 문제 풀기 → 4/20 범위 정리 읽기(외우기)</t>
        </is>
      </c>
      <c r="E7" s="5" t="inlineStr">
        <is>
          <t>커트라인 계산은 비워 두었지만 통합사회 한 과목의 날짜별 계획은 성실하게 세움.</t>
        </is>
      </c>
      <c r="F7" s="5" t="inlineStr">
        <is>
          <t>2번 커트라인 계산, 4번 느낀 점, 통합사회 외 목표·계획 미기재 / 학번·이름 공란</t>
        </is>
      </c>
    </row>
    <row r="8" ht="234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①원만성(넬슨 만델라 / 국제통상 전문가·외교관·인사 전문가) ②도덕성(임마누엘 칸트 / 의약품 인허가 전문가·보호교사·판사) ③개방성(파블로 피카소 / 글로벌 홍보전문가·다문화 언어교사·융합형 디자이너)
· 핵심 강점 '개방성' 연관어: 이해, 다양성, 수용
· 희망 전공: 경영·경제, 미술·디자인, 무용·체육 / 추천 전공: 미술·디자인, 주거(인테리어)·의류, 경영·경제 / 가장 선호 계열: 예체능 계열
· 일치 여부: '부모님이 경제 하면 좋고 아니면 아닌 걸로 말씀하신 걸 그냥 해야 한다고 받아들인 것 같다. 미술·디자인이 2순위인 이유는 이걸 가졌을 때 미래가 불확실해서 그런 것 같다'
· 선호 직무 유형: 예술가형 / 직업 가치: 경제적 풍족 &gt; 안정성 &gt; 창의성</t>
        </is>
      </c>
      <c r="E8" s="5" t="inlineStr">
        <is>
          <t>희망 1순위(경영·경제)는 부모님 권유를 따른 것이고, 실제로 끌리는 쪽은 미술·디자인이지만 '미래가 불확실해서' 2순위로 두었다고 스스로 적음. 부모 기대와 본인 흥미 사이의 고민이 드러나 상담 때 살펴볼 부분.</t>
        </is>
      </c>
      <c r="F8" s="5" t="inlineStr">
        <is>
          <t>강점 강화 방안, 관련 직업·학과 미기재 / 이름 공란</t>
        </is>
      </c>
    </row>
    <row r="9" ht="276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일러스트레이터(출판·광고·게임 등 분야에서 의뢰받은 주제를 그림으로 표현 / 색채 감각·조형 감각, 세밀함과 꼼꼼함, 창의적 능력, 의사소통 능력 / 미술과·산업디자인학과·시각디자인학과·애니메이션학과), 웹디자이너(웹사이트의 레이아웃과 시각적 요소를 디자인 / 프로그램 다루는 능력, 시각적 표현력, 디자인 지식, 시간관리 능력 / 산업디자인·시각디자인·컴퓨터공학과), 군인(국가의 안전을 지키고 국민을 보호 / 강한 체력과 정신력, 책임감, 판단력 / 군사학과·국방관련학과), 회계사(재무제표 작성, 세무 업무 등 / 수리 능력, 분석력, 꼼꼼함, 의사소통 능력 / 경영학과·경제학과·세무회계학과)
· 준결승: 일러스트레이터('다양하고 독특한 의뢰를 받고 일을 하는 게 재밌을 것 같아서') vs 군인('회계사는 경제 쪽이 아니면 할 수 없지만 군인은 누구나 될 수 있고 체력도 기를 수 있어서') → 최종 '일러스트레이터' — '그림에 대한 흥미와 즐거움이 조금 남아 있기 때문이다' / 포기 이유: '오래 하는 것과 안정성을 생각했을 때 조금 더 필요해서'</t>
        </is>
      </c>
      <c r="E9" s="5" t="inlineStr">
        <is>
          <t>최종 선택은 일러스트레이터로, 1-4에서 적은 '실제 흥미는 미술·디자인'과 일치함. '그림에 대한 흥미가 조금 남아 있다'는 표현이 조심스러움. 경영·경제(부모 권유) 쪽 직업인 회계사는 1차에서 탈락함.</t>
        </is>
      </c>
      <c r="F9" s="5" t="inlineStr">
        <is>
          <t>가치관 비교, 미래 명함 미기재</t>
        </is>
      </c>
    </row>
    <row r="10" ht="108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시각디자인학과 / 관심 대학: 경희대
· 학과 개요: '시각적 요소를 통해 정보와 메시지를 효과적으로 전달하는 학문'
· 고교 과목: 미술, 사회 / 대학 교과목: 드로잉, 기초 디자인, 그래픽 디자인
· 자격증: 게임그래픽전문가, 시각디자인기사 / 진출: 웹디자이너, 일러스트레이터, 게임그래픽 디자이너</t>
        </is>
      </c>
      <c r="E10" s="5" t="inlineStr">
        <is>
          <t>디자인 방향과 일관됨.</t>
        </is>
      </c>
      <c r="F10" s="5" t="inlineStr">
        <is>
          <t>연결 포인트, 학과 전망, 다짐 미기재</t>
        </is>
      </c>
    </row>
    <row r="11" ht="122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학생부교과 4명(교과 70%+교과 관련 서류 종합 평가 30%), 학생부종합 9명(1단계 서류 100%, 2단계 면접 40%+1단계 60%), 논술 5명(학생부 30%: 교과 20%+출결 10%, 논술 70%, 최저 있음), 정시 9명(수능 100%로 적음)
· 논술 반영 교과: 국·수·영·사·과, 공통과목을 제외한 성취도</t>
        </is>
      </c>
      <c r="E11" s="5" t="inlineStr">
        <is>
          <t>사전 연습 표를 비교적 정확히 작성함.</t>
        </is>
      </c>
      <c r="F11" s="5" t="inlineStr">
        <is>
          <t>2번 step1·step2 미기재 / 학번·이름 공란</t>
        </is>
      </c>
    </row>
    <row r="12" ht="136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'일러스트레이터', 7차시 '시각디자인학과', 8차시 '예체능 계열'만 적음(변화 여부 체크 없음)</t>
        </is>
      </c>
      <c r="E12" s="5" t="inlineStr">
        <is>
          <t>1학기 기록만 옮겨 적고 최종 진로 목표·과목 설계는 비워 둠. 부모님 기대(경영·경제)와 본인 흥미(디자인) 사이에서 아직 결정을 내리지 못한 것으로 보임. P-1에서는 습관형성 트랙만 고르고 비워 둠.</t>
        </is>
      </c>
      <c r="F12" s="5" t="inlineStr">
        <is>
          <t>변화 여부, 바뀐/유지 이유, 최종 진로 목표, 과목 선택 설계, 대입 전형, 2학기 다짐 전체 미기재</t>
        </is>
      </c>
    </row>
    <row r="13" ht="170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년도·학과 미기재
· 학업역량: B&gt;C&gt;A — 이유 미기재
· 진로역량: C(1순위만) — 이유 미기재
· 공동체역량: C&gt;B&gt;A — 이유 미기재
· 조별 예상 순위: 미기재 / 결과 확인: 미기재
· 느낀 점: '생각보다 애매한 생기부와 좋은 생기부가 잘 보였다.'
· 배운 점: '공부를 잘하자.'</t>
        </is>
      </c>
      <c r="E13" s="5" t="inlineStr">
        <is>
          <t>순위만 매기고 근거와 조별 결과는 모두 비움. 느낀 점에서 생기부 간 차이를 알아본 점은 의미 있음.</t>
        </is>
      </c>
      <c r="F13" s="5" t="inlineStr">
        <is>
          <t>년도·선택 학과, 3개 역량 이유, 예상·결과 순위 미기재</t>
        </is>
      </c>
    </row>
    <row r="14" ht="80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③ 습관형성
· 최종 트랙 ③ 습관형성에 체크. 그 밖의 칸은 모두 비어 있음.</t>
        </is>
      </c>
      <c r="E14" s="5" t="inlineStr">
        <is>
          <t>트랙만 선택함. 개선하고 싶은 습관과 목표 설정을 개별로 도와줘야 함.</t>
        </is>
      </c>
      <c r="F14" s="5" t="inlineStr">
        <is>
          <t>선택 이유·습관형성 작성란·8차시 계획·다짐 전체 미기재</t>
        </is>
      </c>
    </row>
    <row r="15" ht="346" customHeight="1">
      <c r="A15" s="4" t="inlineStr">
        <is>
          <t>P-2</t>
        </is>
      </c>
      <c r="B15" s="5" t="inlineStr">
        <is>
          <t>진로 프로젝트 2차시(습관형성): 나를 돌아보고, 목표 세우기(원인분석+목표설정)</t>
        </is>
      </c>
      <c r="C15" s="5" t="inlineStr">
        <is>
          <t>최근 목표·계획 돌아보기와 자기 평가, 장애물·개선방안 분석, SMART 기법으로 습관 목표 구체화, 인증 방법·최종 습관 목표 정하기</t>
        </is>
      </c>
      <c r="D15" s="5" t="inlineStr">
        <is>
          <t>[습관형성] 짝 없음
· 최근 목표: 일러스트 한 장을 9월 7일 안에 완성하기 / 계획: 기한 안에 완성해서 기록용 SNS에 올리기
· 자기 평가: 목표 달성 '불만족', 계획 실행 '매우 부족' — '그림 느낌도 마음에 안 들고 기한도 한참 넘겨 버림'
· 장애물·개선: ① 귀찮음 → 휴식을 충분히 취한 뒤 다시 이어 나가기 ② 내 마음에 들지 않음 → 되돌릴 수 있다고 판단되면 과감하게 처음부터 다시 하기
· SMART 목표: 그림 하루에 최소 한 장 완성하기
  - S: 간단한 그림이든 일러스트든 어떤 주제든 하루에 한 장 완성 / M: 개인톡에 올려 전과 무엇이 다른지, 얼마나 걸렸는지, 늘었는지 확인
  - A: 처음부터 풀 일러스트가 아니라 낙서나 관심 주제(동물·식물 등)로 시작 / R: 같은 주제를 다시 그려 전 그림과 비교하며 조금이라도 발전하도록 노력
  - T: 7차시 결과 정리 때까지, 잘 안 되는 주에도 이틀에 1번은 완성
· 인증 방법: 사진 촬영 + 개인톡에 올려 기록(원본·촬영본을 개인톡에 올리기)
· 최종 습관 목표: '최소 하루에 한 장은 그림 완성시키기'</t>
        </is>
      </c>
      <c r="E15" s="5" t="inlineStr">
        <is>
          <t>1차시엔 습관형성 작성란이 모두 비어 있었는데, 2차시엔 SMART까지 모두 채워 반에서 가장 완성도가 높은 습관 계획서임. 그림(일러스트)이라는 관심사가 새로 드러남. 스스로에 대한 평가가 엄격한 편이라 작은 성취를 인정해 주면 좋음.</t>
        </is>
      </c>
      <c r="F15" s="5" t="inlineStr">
        <is>
          <t>T(기한) 칸 일부 판독 어려움</t>
        </is>
      </c>
    </row>
    <row r="16" ht="249" customHeight="1">
      <c r="A16" s="4" t="inlineStr">
        <is>
          <t>P-3</t>
        </is>
      </c>
      <c r="B16" s="5" t="inlineStr">
        <is>
          <t>진로 프로젝트 3차시(습관형성): 습관 실천 — 1주차 습관 기록표</t>
        </is>
      </c>
      <c r="C16" s="5" t="inlineStr">
        <is>
          <t>이번 주 목표와 확인(인증) 방법 정하기, 요일별 실천 내용·실천/인증 체크·오늘의 한 줄 기록, 실천 일수와 한 주 소감 작성</t>
        </is>
      </c>
      <c r="D16" s="5" t="inlineStr">
        <is>
          <t>[습관형성] 1주차 습관 기록표
· 이번 주 목표: 하루에 최소 그림 한 장 완성하기 / 확인(인증) 방법: 그림 저장·캡처 후 개인톡에 기록식으로 보내기
· 요일별: 토요일만 실천 ○ 표시, 실천 내용·오늘의 한 줄은 모두 비어 있음
· 이번 주 실천 일수: 1일 / 7일
· 느낀 점: '26일 오늘부터 시작하는 줄 알았는데'(문장이 끝나지 않음)</t>
        </is>
      </c>
      <c r="E16" s="5" t="inlineStr">
        <is>
          <t>2차시에 세운 목표(하루 그림 1장)를 그대로 가져와 목표·인증 방법은 명확함. 느낀 점을 보면 기록 시작일을 착각한 것으로 보여, 시작일 안내를 다시 확인해 줄 필요가 있음.</t>
        </is>
      </c>
      <c r="F16" s="5" t="inlineStr">
        <is>
          <t>요일별 실천 내용·오늘의 한 줄 미기재 / 느낀 점 문장 미완성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11214 엄태훈)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않음. 흐린 연필 글씨가 많아 일부 내용은 판독이 어려움.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20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진진가 퀴즈 정답: 2, 2
· 자기소개 문제: 장래희망이 수의사다, 생일이 11월 달이다, 반려동물을 키운다, 형 있다, 누나 없다, 동생 없다
· 질문지: 진로를 자신 있게 말할 수 있다 '그렇다' / 꿈을 위해 노력 '그렇지 않다' / 가족과 대화 '보통' / 필요한 공부 알고 노력 '그렇지 않다' / 상담 경험 '매우 그렇지 않다' / 상담 상대: 기타 '없어요'
· 진로 결정 시 중요: 기타 '내가 원하는 것(?)' / 정보 탐색: 인터넷 / 노력: 틈틈이 정보 수집 / 어려운 점: 나의 특성을 몰라서
· 약속: ★연결 — '내 꿈에 한 발짝 더 다가갈 수 있을 것 같아서' / 다섯 글자 다짐: '대 충 아 파 팅'(?)(판독 어려움)</t>
        </is>
      </c>
      <c r="E5" s="5" t="inlineStr">
        <is>
          <t>학기 초부터 '장래희망이 수의사'라고 밝힘. 진로 상담 경험은 없다고 응답함.</t>
        </is>
      </c>
      <c r="F5" s="5" t="inlineStr">
        <is>
          <t>깨달은 점 미기재 / 다섯 글자 다짐 판독 어려움</t>
        </is>
      </c>
    </row>
    <row r="6" ht="122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 / 정시: 수능 / 내신 5등급제, 1등급 상위 10%, 수행+지필, 수행평가 비중 높음
· 졸업 192학점, 2학년부터 진로에 맞게, 1학년 여름방학 전 진로 정하기
· 세특을 채우는 태도: '수업 잘 듣기' / 창체: 자율, 진로(동아리 칸에 기재) / 담임 기록: 행특 / 2028 수능: 공통, 공통사회·공통과학</t>
        </is>
      </c>
      <c r="E6" s="5" t="inlineStr">
        <is>
          <t>앞부분은 잘 채웠으나 뒤로 갈수록 빈칸이 많아짐.</t>
        </is>
      </c>
      <c r="F6" s="5" t="inlineStr">
        <is>
          <t>4번 앞 두 문항, 6번 마지막 문항, 7번, 8번 다짐 미기재</t>
        </is>
      </c>
    </row>
    <row r="7" ht="150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 — 계산 과정 작성
· 느낀 점: '공부 열심히 해야겠다'
· 목표 점수: 6과목 모두 70점
· 시험 계획(4/13~4/20): 공통수학 이차방정식~이차함수·문제풀이·다항식~이차함수 복습 / 공통영어 교과서 문법·어휘, 모의고사 복습 / 공통국어 교과서 개념 보기·교과서 복습·모의고사 / 한국사 노트정리·복습·암기 / 통합사회 교과서 복습 / 통합과학 단원별로 노트정리·암기</t>
        </is>
      </c>
      <c r="E7" s="5" t="inlineStr">
        <is>
          <t>6과목 모두 날짜별 계획을 세우고 목표 점수도 고르게 70점으로 설정함. 계획이 구체적이고 성실함.</t>
        </is>
      </c>
      <c r="F7" s="5" t="inlineStr">
        <is>
          <t>3번 변수 문항 미기재</t>
        </is>
      </c>
    </row>
    <row r="8" ht="234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①감정회복력(헬렌 켈러 / 스포츠 카운슬러·사회복지사·정신과 의사) ②원만성(넬슨 만델라 / 국제통상 전문가·외교관·인사 전문가) ③호기심(알베르트 아인슈타인 / 고고학자·과학자·기자 등)
· 핵심 강점 '감정회복력' 연관어: 감정, 마음, 회복, 긍정, 건강 / 강화 방안: '나를 알아줄 ○○○ 마음의 근육 만들기'(일부 판독 어려움)
· 희망 전공: 농림·축산, 의료, 바이오·화학 / 추천 전공: 바이오·화학, 의료, 농림·축산 → 순서만 다르고 모두 일치 / 가장 선호 계열: 의약계열
· 관련 직업·학과: 농업 연구원·축산 관련(?), 의사·의학연구원·보건의료관리자, 생명과학 연구원 / 동물자원학과, 수의학과·의예과·치의예과·한의예과, 생명공학과·생명과학과
· 선호 직무 유형: 돌봄형 / 직업 가치: 경제적 풍족 &gt; 안정성 &gt; 사회적 인정</t>
        </is>
      </c>
      <c r="E8" s="5" t="inlineStr">
        <is>
          <t>희망 전공과 추천 전공이 순서만 다르고 모두 일치함(농림축산·의료·바이오화학). 수의사 진로와 딱 맞는 결과.</t>
        </is>
      </c>
      <c r="F8" s="5" t="inlineStr">
        <is>
          <t>일치 여부 서술 미기재</t>
        </is>
      </c>
    </row>
    <row r="9" ht="192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사육사(동물이 먹이를 먹고 생활하는 환경 관리, 건강 상태 관찰 및 건강 관리 / 동물을 아끼는 마음, 돌발상황 대처 능력 등 / 축산학과·동물자원학과), 수의사(동물의 질병 진단 및 치료, 예방접종, 전염병 방역 업무 / 관찰력, 책임감, 인내심 등 / 수의예과), 치의사(치아 및 구강 관련 진료 / 손재주, 소통 능력 등 / 치의예과), 축산 연구원(가축의 품종 개량, 사료·질병 예방 연구 등 / 분석적 사고, 수리력 등 / 축산학과 등)
· 준결승: 사육사('어릴 때부터 하고 싶었어요') vs 수의사('아픈 동물을 도와주고 싶어요') → 최종 '사육사' — '성격 맞아요' / 수의사 포기 이유: '성적이 안 될 거 같아요'</t>
        </is>
      </c>
      <c r="E9" s="5" t="inlineStr">
        <is>
          <t>동물 관련 직업으로 일관됨. 최종으로 사육사를 고르며 수의사를 '성적이 안 될 것 같아서' 포기함. 학업 자신감이 진로 선택에 영향을 주고 있어 상담 때 참고할 부분.</t>
        </is>
      </c>
      <c r="F9" s="5" t="inlineStr">
        <is>
          <t>가치관 비교, 미래 명함 미작성</t>
        </is>
      </c>
    </row>
    <row r="10" ht="206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수의예과 / 관심 대학: 강원대
· 학과 개요: '동물의 질병을 치료하고 연구하며, 동물 건강을 증진하고 인수공통전염병을 예방해 국민 건강을 책임지는 학문'(일부 판독 어려움)
· 연결 포인트: '동물이 좋아요'
· 고교 과목: 대수, 확률과 통계, 미적분Ⅰ, 화학, 생명과학 등 / 대학 교과목: 해부학, 수의학, 조류질병학 등
· 자격증: 수의사, 가축인공수정사, 축산기사, 축산산업기사 등 / 진출: 동물병원, 동물원·사육사, 임상수의사, 가축연구원, 수의직 공무원 등 / 전망: 동물병원, 수의직 관련 국가연구원, 제약회사, 공무원 등
· 노력할 것: '공부 열심히 하기'</t>
        </is>
      </c>
      <c r="E10" s="5" t="inlineStr">
        <is>
          <t>5차시에 '성적 때문에' 포기했던 수의사로 돌아와 수의예과를 탐색함. 고교 과목·자격증·진출 분야를 꼼꼼히 찾아 적음.</t>
        </is>
      </c>
      <c r="F10" s="5" t="inlineStr">
        <is>
          <t>일부 판독 어려움</t>
        </is>
      </c>
    </row>
    <row r="11" ht="122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학생부교과 4명(교과 70%+서류 30%), 학생부종합 9명(1단계 서류 100%, 2단계 면접 40%+1단계 성적 60%), 논술 5명(논술 70%+교과 20%+출결 10%, 최저 있음), 정시 9명(수능 80%+학생부평가 20%)
· 학생부교과 반영 교과: 국·영·수·사·과 중, 공통과목 제외 석차등급이 병기된 상위 10과목</t>
        </is>
      </c>
      <c r="E11" s="5" t="inlineStr">
        <is>
          <t>사전 연습 표와 반영 교과까지 정확히 작성함.</t>
        </is>
      </c>
      <c r="F11" s="5" t="inlineStr">
        <is>
          <t>2번 step1·step2 미기재</t>
        </is>
      </c>
    </row>
    <row r="12" ht="206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'수의사'(실제 5차시 최종 선택은 사육사) 부분 수정 / 7차시 '수의예과' 부분 수정 / 8차시 '건대' 완전히 바뀜 — 이유 '성적이 안 돼요'
· 최종 목표: 축산 계열 / 수의 테크니션 / 동물보건과 / 목표 대학 '잘 모르겠어요'
· 과목 선택: 국어(대화, 매체?) / 수학(기본 대수) — 대수, 미적분Ⅰ, 기하, 미적분Ⅱ / 영어(전공 활용) — 영어Ⅰ, 영어Ⅱ / 사회 / 과학(생명과학 기초) — 생명과학, 화학, 세포와 물질대사, 화학 반응의 세계, 생물의 유전 등
· 대입: 수시 학생부교과(학생부종합에도 표시) / 2학기 다짐: '2학기엔 열심히 하자'</t>
        </is>
      </c>
      <c r="E12" s="5" t="inlineStr">
        <is>
          <t>동물 관련 진로는 1학기 내내 일관되지만, '성적이 안 돼요'를 이유로 수의사 → 수의 테크니션(동물보건과)으로 목표를 낮춤. 5차시·최종 모두 성적 걱정이 진로 선택의 이유로 등장함. 1-3에서 성실한 시험 계획을 세운 학생이라 학습 동기 격려가 도움이 될 수 있음. P-1에서는 윤도영과 '반려동물 수' 주제로 공동 작업 중.</t>
        </is>
      </c>
      <c r="F12" s="5" t="inlineStr">
        <is>
          <t>사회·기타 과목, 2학기 집중 과제 미기재</t>
        </is>
      </c>
    </row>
    <row r="13" ht="170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2024 첨단융합학부(6조)
· 학업역량: B&gt;A&gt;C — 이유: '성적순'
· 진로역량: B&gt;A&gt;C — 이유: 학과 관련 활동(보고서 등)을 다 완벽하게 함(일부 판독 어려움)
· 공동체역량: C&gt;A&gt;B — 이유: 'C는 친구한테 공부를 알려줌'
· 조별 예상 순위: A-B-C / 결과 확인: A-C-B → 불일치
· 느낀 점: '서울대 가고 싶다.'
· 배운 점: '서울대 가려면 엄청난 노력이 필요하다.'</t>
        </is>
      </c>
      <c r="E13" s="5" t="inlineStr">
        <is>
          <t>합격생 학생부를 보고 '서울대 가고 싶다'는 동기가 생김. 이유는 짧지만 역량별 근거를 적음.</t>
        </is>
      </c>
      <c r="F13" s="5" t="inlineStr">
        <is>
          <t>진로역량 이유 일부 판독 어려움</t>
        </is>
      </c>
    </row>
    <row r="14" ht="206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① 주제탐구
· 이름란에 '엄태훈 with 윤도영(11215)'으로 적은 공동 작성 활동지
· 선택 이유: '사육사·수의사 등 직업 자체는 정해지진 않았지만 계열 자체는 비슷하고 정해진 것 같아요. 어릴 때부터 동물을 좋아했어요'
· 관심 분야: 사육 계열, 수의 계열, 반려동물 계열(여러 번 고쳐 씀)
· 생각한 이유: '어릴 때부터 동물이 너무 좋아요'
· 잠정 주제: '연도별·가구별 애완(반려)동물 수'(앞부분 지움, 일부 판독 어려움)
· 주제 선택 이유: '강아지가 너무 키우고 싶었어요'
· 다짐: '이 활동을 통해 꿈을 정할 거예요'</t>
        </is>
      </c>
      <c r="E14" s="5" t="inlineStr">
        <is>
          <t>동물 관련 계열로 관심이 일관됨. 윤도영과 함께 쓴 활동지가 2장 있는데, 이 장은 동물, 다른 장(11215 시트)은 방송·게임을 다뤄 공동 주제가 무엇인지 확인이 필요함.</t>
        </is>
      </c>
      <c r="F14" s="5" t="inlineStr">
        <is>
          <t>8차시 세부 계획·자가 점검 미기재</t>
        </is>
      </c>
    </row>
    <row r="15" ht="166" customHeight="1">
      <c r="A15" s="4" t="inlineStr">
        <is>
          <t>P-2</t>
        </is>
      </c>
      <c r="B15" s="5" t="inlineStr">
        <is>
          <t>진로 프로젝트 2차시(주제탐구): 탐구 방법 안내 &amp; 탐구계획서</t>
        </is>
      </c>
      <c r="C15" s="5" t="inlineStr">
        <is>
          <t>통계·기사·논문·기관 사이트 등 자료원 안내, 핵심 탐구 질문과 하위 질문 3개 작성, 활용할 자료원 정리</t>
        </is>
      </c>
      <c r="D15" s="5" t="inlineStr">
        <is>
          <t>[주제탐구] 11215 윤도영과 짝으로 표시
· 핵심 질문: '수의사와 사육사는 어떻게, 얼마나 다를까?'
· 하위 ①: 두 직업이 주로 하는 일
· 하위 ②: 두 직업의 평균 연봉
· 하위 ③: 사육사와 수의사가 되려면 어떤 걸 배우고 어느 학교에 가야 할까?
· 자료원: 건국대 수의학과 관련 자료, 관련 뉴스 기사</t>
        </is>
      </c>
      <c r="E15" s="5" t="inlineStr">
        <is>
          <t>1차시 공동 주제('연도별·가구별 반려동물 수')에서 수의사·사육사 직업 비교로 바뀜. 짝으로 적은 윤도영은 전혀 다른 주제(방송 콘텐츠)를 써서 공동 탐구가 실제로 되는지 확인이 필요함. 활동지 여백에 낙서가 많음.</t>
        </is>
      </c>
      <c r="F15" s="5" t="inlineStr">
        <is>
          <t>자료원 앞부분 일부 판독 어려움 / 짝과 주제 불일치</t>
        </is>
      </c>
    </row>
    <row r="16" ht="231" customHeight="1">
      <c r="A16" s="4" t="inlineStr">
        <is>
          <t>P-3</t>
        </is>
      </c>
      <c r="B16" s="5" t="inlineStr">
        <is>
          <t>진로 프로젝트 3차시(주제탐구): 자료 수집</t>
        </is>
      </c>
      <c r="C16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6" s="5" t="inlineStr">
        <is>
          <t>[주제탐구] 자료 3개
· ① 메디벳(추정) 2022.04.19 기사: 수의사 초봉은 평균 4,180만 원(판독 일부 어려움)인데, 수의사를 돕는 수의테크니션은 절반 수준인 평균 2,799만 원
· ② 한경 2023.08.10 기사: 관련 학과를 나와도 최저시급과 비슷하게 받고 업무 강도가 생각보다 세다는 등 사육사의 여러 단점
· ③ '전과자'(학과 소개 콘텐츠로 보임) — 수의학과·반려동물보건과: 수의학과가 수술을 한다면 반려동물보건과는 간호를 하는 차이가 있음</t>
        </is>
      </c>
      <c r="E16" s="5" t="inlineStr">
        <is>
          <t>2차시 탐구 질문(수의사와 사육사 비교: 하는 일·연봉·진학 경로)에 맞춰 연봉·근무 여건·학과 차이를 골고루 모음. 짝 윤도영과는 여전히 주제가 다름.</t>
        </is>
      </c>
      <c r="F16" s="5" t="inlineStr">
        <is>
          <t>자료 ④·⑤, 나의 생각/메모 미기재 / 자료 ①·③ 출처명 일부 판독 어려움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11215 윤도영)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1-3, 1-6차시 활동지가 포함되어 있지 않음(스캔 순서가 역순으로 되어 있음).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318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진진가 퀴즈 정답: 2, 2 / 선생님께: '잘 부탁드립니다~'
· 자기소개 문제: 수영을 마스터 반까지 갔다, 오른손과 왼손 둘 다 쓴다(?), 고양이를 키운다(일부 판독 어려움)
· 질문지: 진로를 자신 있게 말할 수 있다 '보통' / 꿈을 위해 노력 '그렇다' / 가족과 대화 '보통' / 필요한 공부 알고 노력 '매우 그렇다' / 상담 경험 '보통' / 상담 상대: 학원 강사, 부모·친척
· 진로 결정 시 중요: 나의 소질과 적성, 부모님 의견 / 정보 탐색: 관련 서적, 기타 '학교 진로 수업' / 노력: 틈틈이 정보 수집
· 어려운 점: 나의 특성을 몰라서, 생각하는 진로가 너무 많아 선택하기 어려워서
· 진로수업에 바라는 것: 'AI의 등장이 영향이 큰 직업들(긍정적·부정적 둘 다)'
· 약속: ★적극·연결 — '진로 수업에 적극적으로 참여해야 내 미래의 방향성을 결정할 수 있을 것 같기 때문에' / 깨달은 점: '선생님과 앞으로의 진로 수업 계획에 대해서' / 다섯 글자 다짐: '열심히 하자'</t>
        </is>
      </c>
      <c r="E5" s="5" t="inlineStr">
        <is>
          <t>진로 후보가 많아 선택이 어렵다고 응답함. AI가 직업에 미치는 영향에 관심을 보임.</t>
        </is>
      </c>
      <c r="F5" s="5" t="n"/>
    </row>
    <row r="6" ht="164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최저학력 / 정시: 수능 / 내신 5등급제, 1등급 상위 10%, 수행+지필, 수행평가 비중 높음
· 졸업 192학점, 2학년부터 희망 진로에 맞게, 1학년 여름방학 전 진로 정하기
· 학종 정성평가 대상: 과정 / 세특 = 세부능력 및 특기사항, 태도: '수업 적극 참여 &amp; 학업역량(발표, 질문, 과제 성실 수행)'
· 창체: 자율, 동아리 / 행동특성 및 종합의견 / 2028 수능: 공통, 통합사회·통합과학, 내신(생기부) 반영 / 역전, 주도성</t>
        </is>
      </c>
      <c r="E6" s="5" t="inlineStr">
        <is>
          <t>빈칸을 빠짐없이 정확하게 채움.</t>
        </is>
      </c>
      <c r="F6" s="5" t="inlineStr">
        <is>
          <t>8번 '활동 후 나의 다짐' 미기재</t>
        </is>
      </c>
    </row>
    <row r="7" ht="262" customHeight="1">
      <c r="A7" s="4" t="inlineStr">
        <is>
          <t>1-4</t>
        </is>
      </c>
      <c r="B7" s="5" t="inlineStr">
        <is>
          <t>자기 이해 검사 종합하기</t>
        </is>
      </c>
      <c r="C7" s="5" t="inlineStr">
        <is>
          <t>POWER UP 강점진로검사(강점·핵심 강점 강화), MIT 전공흥미검사(희망 vs 추천 전공 비교), 선호 직무 유형·직업 가치</t>
        </is>
      </c>
      <c r="D7" s="5" t="inlineStr">
        <is>
          <t>· 강점: ①긍정성(프랭클린 루스벨트 / 창업투자 전문가·벤처투자가·홍보전문가) ②호기심(알베르트 아인슈타인 / 과학자·고고학자·기자·시장·여론조사 전문가) ③개방성(파블로 피카소 / 융합형 디자이너·글로벌 홍보전문가·다문화 언어교사)
· 핵심 강점 '긍정성' 연관어: 로또, 백호, 네잎클로버, 장원영, 시험, 인생, 비트코인, 릴리 / 강화 방안: '원영적 사고마인드'
· 희망 전공: 영상·공연, 미술·디자인, 법률·행정(처음 적은 것을 지우고 고쳐 씀) / 추천 전공: 미술·디자인, 영상·공연, 주거(인테리어)·의류 / 가장 선호 계열: 예체능 계열
· 관련 직업·학과: 화가·방송연출가·유튜버·실내장식 디자이너 / 미술학과, 만화애니메이션학과, 미디어영상학과, 실내디자인학과
· 일치 여부: '비슷하다' / 선호 직무 유형: 예술가형 / 직업 가치: 창의성 &gt; 안정성 &gt; 경제적 풍족</t>
        </is>
      </c>
      <c r="E7" s="5" t="inlineStr">
        <is>
          <t>희망 1·2순위가 추천 전공과 순서만 바뀌어 일치함(영상·공연, 미술·디자인). 예술가형·창의성 우선으로 예체능 쪽 적성이 뚜렷함.</t>
        </is>
      </c>
      <c r="F7" s="5" t="n"/>
    </row>
    <row r="8" ht="318" customHeight="1">
      <c r="A8" s="4" t="inlineStr">
        <is>
          <t>1-5</t>
        </is>
      </c>
      <c r="B8" s="5" t="inlineStr">
        <is>
          <t>최고 관심 직업 선정하기</t>
        </is>
      </c>
      <c r="C8" s="5" t="inlineStr">
        <is>
          <t>4차시 결과를 바탕으로 관심 직업 4개 정보 수집, 토너먼트로 최고 관심 직업 선정, 직업 가치관과 비교, 미래 명함 만들기</t>
        </is>
      </c>
      <c r="D8" s="5" t="inlineStr">
        <is>
          <t>· 4개 직업: 웹툰 작가(기획 및 시놉시스 작성, 스토리보드(콘티) 제작, 데생 및 펜터치, 채색 및 배경 작업, 후보정 및 식자 / 작화 실력, 스토리텔링 및 연출력, 성실함과 마감 준수 / 만화애니메이션학과·웹툰콘텐츠학과), 크리에이터(방송)(콘텐츠 기획, 촬영 및 제작, 영상 편집, 채널 관리 / 기획력과 창의성, 영상 편집 기술, 커뮤니케이션 능력, 미적 감각 / 영상제작과·콘텐츠디자인학과·1인미디어학과), 일러스트레이터(캐릭터 및 배경 디자인 / 독창적 그림 스타일, 조형 감각과 색채 감각 / 일러스트레이션학과·게임그래픽학과), 실내장식 디자이너(공간 기획 및 설계 / 꼼꼼함 / 실내디자인학과)
· 준결승: 크리에이터(방송)('최근 유튜브를 보면서 방송 쪽에 흥미가 생겼기 때문이고, 전부터 해보고 싶었던 것이기 때문에') vs 일러스트레이터('미술 쪽에 재능이 있고 상상력과 호기심이 많아서 많은 주제들로 활용할 수 있기 때문에')
· 최종 '크리에이터' — '내가 안 해 본 영역이고 전부터 해보고 싶었기 때문에' / 일러스트레이터 포기 이유: '미술은 한 번 해봤으니 안 해본 것도 해보고 싶어서'
· 가치관 비교: '비슷하다'</t>
        </is>
      </c>
      <c r="E8" s="5" t="inlineStr">
        <is>
          <t>4개 직업 모두 예술·콘텐츠 분야로 관심 범위가 일관됨. '해보지 않은 영역에 도전하고 싶다'는 이유로 크리에이터를 고름.</t>
        </is>
      </c>
      <c r="F8" s="5" t="inlineStr">
        <is>
          <t>미래 명함 미작성</t>
        </is>
      </c>
    </row>
    <row r="9" ht="318" customHeight="1">
      <c r="A9" s="4" t="inlineStr">
        <is>
          <t>1-7</t>
        </is>
      </c>
      <c r="B9" s="5" t="inlineStr">
        <is>
          <t>희망 학과(전공) 탐색하기</t>
        </is>
      </c>
      <c r="C9" s="5" t="inlineStr">
        <is>
          <t>2인 1조로 같은 학과를 커리어넷·고용24 등에서 탐색해 학과 개요·교육과정·진로 정보 정리</t>
        </is>
      </c>
      <c r="D9" s="5" t="inlineStr">
        <is>
          <t>· 탐색 학과: 영상예술학과, 디지털미디어영상학과, 방송영상학과(한 개 지움) / 관심 대학: 한양대(ERICA)
· 학과 개요: '영상예술학과는 연극, 영화, 연출, 제작, 촬영, 편집 등 영상과 관련된 종합예술을 교육하는 학과이다'
· 연결 포인트: '영상 제작, 그리고 미술에 흥미가 많음 → 영상제작과 영상예술과 연결. 어렸을 때부터 상상력과 창의력이 좋았고 미술도 배웠었다 → 개성, 창의력, 예술적 감성 등'
· 고교 과목: 미술, 국어, 영어, 음악, 정보, 사회-사회·문화 / 대학 교과목: 기초 — 영상학개론, 방송의 이해, 정보사회와 뉴미디어 / 심화 — 응용촬영 등
· 자격증: 멀티미디어콘텐츠제작전문가 / 진출: 스튜디오, 인터넷 방송업체, 영화 및 연예 기획사 등
· 학과 전망: '여가 시간의 증가로 사람들의 취미가 다양해졌고, 방송과 신문, 인터넷 등 미디어 간의 경계가 허물어지고 휴대전화나 태블릿 등을 이용하여 방송을 시청할 수 있게 됨'
· 노력할 것: '여러 영상들을 접해보고, 영상 제작 기술과 관련 교과와 교과목을 열심히 공부'</t>
        </is>
      </c>
      <c r="E9" s="5" t="inlineStr">
        <is>
          <t>학과 전망까지 찾아 적은 성실한 탐색. 영상·미디어 진로로 5차시와 연결됨.</t>
        </is>
      </c>
      <c r="F9" s="5" t="n"/>
    </row>
    <row r="10" ht="94" customHeight="1">
      <c r="A10" s="4" t="inlineStr">
        <is>
          <t>1-8</t>
        </is>
      </c>
      <c r="B10" s="5" t="inlineStr">
        <is>
          <t>나의 대학 진학 설계(대입 전형 유형 분석)</t>
        </is>
      </c>
      <c r="C10" s="5" t="inlineStr">
        <is>
          <t>조별 사전 연습(동국대 수학과 전형 분석), 전형 유형별 나의 경쟁력 별점, 희망 대학 2028 시행계획 보고 수시·정시 전형 1개씩 선택</t>
        </is>
      </c>
      <c r="D10" s="5" t="inlineStr">
        <is>
          <t>· 사전 연습(동국대 수학과) 표 작성: 학생부교과 4명(학생부교과 70%+교과 관련 서류 종합평가 30%), 학생부종합 9명(1단계 서류 100%, 2단계 면접 40%+1단계 성적 60%), 논술 5명(학생부 30%: 교과 20%+출결 10%, 최저 있음), 정시 9명(수능 80%+학생부평가 20%)</t>
        </is>
      </c>
      <c r="E10" s="5" t="inlineStr">
        <is>
          <t>사전 연습 표를 정확하게 작성함.</t>
        </is>
      </c>
      <c r="F10" s="5" t="inlineStr">
        <is>
          <t>반영 교과 표, 2번 step1·step2 미기재</t>
        </is>
      </c>
    </row>
    <row r="11" ht="262" customHeight="1">
      <c r="A11" s="4" t="inlineStr">
        <is>
          <t>1학기 최종</t>
        </is>
      </c>
      <c r="B11" s="5" t="inlineStr">
        <is>
          <t>1학기 진로수업 마무리 활동지(진로 점검 &amp; 과목 선택 최종 설계)</t>
        </is>
      </c>
      <c r="C11" s="5" t="inlineStr">
        <is>
          <t>5·7·8차시 돌아보기, 1학기 마무리 기준 최종 진로 목표, 2·3학년 과목 선택 설계, 대입 전형 연계, 2학기 다짐</t>
        </is>
      </c>
      <c r="D11" s="5" t="inlineStr">
        <is>
          <t>· 돌아보기: 5차시 '방송(크리에이터)'·7차시 '방송영상과, 디지털미디어영상학과'·8차시 '한양대(ERICA), 방송·예체능 계열' 그대로 유지로 보임 — 유지 이유 '내가 안 해본 영역이기도 하고 전부터 해보고 싶었기 때문에'
· 최종 목표: 방송 &amp; 예체능 계열 / 1인 개인방송 크리에이터(유튜브) / 방송영상과, 디지털미디어영상학과 / 한양대(ERICA)
· 과목 선택 연결 포인트: 국어 — 어휘력·멘트력 / 수학 — 컴퓨터 사용 / 영어 — 국제관계(?) 마련하기 / 사회 — 인간관계, 사회생활 / 과학 — 수학이랑 마찬가지 / 기타 — 미술·심리학(?)·편집기술 (선택할 과목 칸은 비어 있음)
· 대입: 수시 학생부교과·학생부종합, 정시 실기/실적 / 2학기 집중 과제: '지필고사, 수행평가, 내신 생기부'
· 2학기 다짐: '내 꿈을 이루기 위해 열심히 노력할 것이다'</t>
        </is>
      </c>
      <c r="E11" s="5" t="inlineStr">
        <is>
          <t>1학기 내내 방송·영상 크리에이터로 진로가 일관됨. P-1 계획서 주제('방송 계열이 유튜브 시장에 미치는 영향')와도 잘 이어짐. 과목별 연결 포인트는 적었지만 실제 선택 과목은 비어 있음.</t>
        </is>
      </c>
      <c r="F11" s="5" t="inlineStr">
        <is>
          <t>선택할 과목 칸 전체 미기재 / 과목 연결 포인트 일부 판독 어려움</t>
        </is>
      </c>
    </row>
    <row r="12" ht="179" customHeight="1">
      <c r="A12" s="4" t="inlineStr">
        <is>
          <t>2-2</t>
        </is>
      </c>
      <c r="B12" s="5" t="inlineStr">
        <is>
          <t>나도 입학사정관(서울대 합격생 학생부 평가)</t>
        </is>
      </c>
      <c r="C12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2" s="5" t="inlineStr">
        <is>
          <t>· 평가 사례: 2024 첨단융합학부(6조)
· 학업역량: B&gt;A&gt;C — 이유: 'B가 수학·과학 모두 성적이 우수하고 사회까지 성적이 좋기 때문'
· 진로역량: A&gt;B&gt;C — 이유: '생기부를 보면 A가 선택 학과와 관련된 활동을 가장 많이 했기 때문'
· 공동체역량: 미기재 — 이유 미기재
· 조별 예상 순위: A-B-C / 결과 확인: A-C-B → 불일치
· 느낀 점: '서울대는 보법부터가 다르다는 걸 느꼈다.'
· 배운 점: '교과 활동과 생기부의 중요성을 느꼈다.'</t>
        </is>
      </c>
      <c r="E12" s="5" t="inlineStr">
        <is>
          <t>학업·진로역량 근거가 구체적임. 방송·미디어 진로와 관련 없는 첨단융합학부 사례를 평가함(조 배정에 따른 것으로 보임).</t>
        </is>
      </c>
      <c r="F12" s="5" t="inlineStr">
        <is>
          <t>공동체역량 순위·이유 미기재</t>
        </is>
      </c>
    </row>
    <row r="13" ht="192" customHeight="1">
      <c r="A13" s="4" t="inlineStr">
        <is>
          <t>P-1</t>
        </is>
      </c>
      <c r="B13" s="5" t="inlineStr">
        <is>
          <t>진로 프로젝트 1차시: 3종 트랙 탐색·선택 및 8차시 개인 계획서</t>
        </is>
      </c>
      <c r="C13" s="5" t="inlineStr">
        <is>
          <t>주제탐구·진로독서·습관형성 3개 트랙 비교 후 1개 선택, 선택 트랙별 초기 아이디어 구상, 8차시 세부 계획 및 한 줄 다짐·자가 점검</t>
        </is>
      </c>
      <c r="D13" s="5" t="inlineStr">
        <is>
          <t>[선택 트랙] ① 주제탐구
· 학번·이름란에 '11215 &amp; 11214 윤도영 &amp; 엄태훈'으로 적은 공동 작성 활동지
· 선택 이유: '아직 진로가 완벽히 정해진 건 아니지만 평소 게임 방송이나 방송 계열에 관심이 많아서 방송 계열에 대해 탐구해보고 싶어서'
· 관심 분야: 방송, 게임, 동물
· 생각한 이유: 평소 게임 방송을 보면서 게임 방송에 대한 관심이 생김(일부 판독 어려움)
· 잠정 주제: '방송 계열이 유튜브 시장에 미치는 영향 분석'(일부 판독 어려움)
· 주제 선택 이유: '평소 인기 있는 유튜버들의 업무가 어떤지 궁금함'</t>
        </is>
      </c>
      <c r="E13" s="5" t="inlineStr">
        <is>
          <t>방송·게임에 관심이 뚜렷함. 엄태훈과 함께 쓴 활동지가 2장이고 주제가 서로 달라(동물 vs 방송) 공동 주제가 무엇인지 확인이 필요함.</t>
        </is>
      </c>
      <c r="F13" s="5" t="inlineStr">
        <is>
          <t>8차시 세부 계획·다짐·자가 점검 미기재</t>
        </is>
      </c>
    </row>
    <row r="14" ht="190" customHeight="1">
      <c r="A14" s="4" t="inlineStr">
        <is>
          <t>P-2</t>
        </is>
      </c>
      <c r="B14" s="5" t="inlineStr">
        <is>
          <t>진로 프로젝트 2차시(주제탐구): 탐구 방법 안내 &amp; 탐구계획서</t>
        </is>
      </c>
      <c r="C14" s="5" t="inlineStr">
        <is>
          <t>통계·기사·논문·기관 사이트 등 자료원 안내, 핵심 탐구 질문과 하위 질문 3개 작성, 활용할 자료원 정리</t>
        </is>
      </c>
      <c r="D14" s="5" t="inlineStr">
        <is>
          <t>[주제탐구] 11214 엄태훈과 짝으로 표시
· 핵심 질문: '방송 콘텐츠와 알고리즘, 게임 등은 청소년의 여가 시간과 취미 생활에 어떤 영향을 미치는가?'
· 하위 ①: 최근 청소년은 어떤 콘텐츠를 이용하는가?
· 하위 ②: 청소년의 하루 방송 콘텐츠·알고리즘 사용 시간은 어떠한가?
· 하위 ③: 자극적인 콘텐츠(어그로, 가짜뉴스, 사이버렉카 등) 생산과 알고리즘 문화가 생기는 원인은 무엇인가?
· 자료원: 청소년 미디어 콘텐츠 실태조사, 유행 숏폼 콘텐츠</t>
        </is>
      </c>
      <c r="E14" s="5" t="inlineStr">
        <is>
          <t>1차시 주제('방송 계열이 유튜브 시장에 미치는 영향')와 같은 방송·미디어 방향임. 다만 핵심 질문과 하위 ①·②가 활동지의 작성 예시(숏폼 알고리즘과 청소년 여가)와 구조가 거의 같아, 본인만의 질문으로 다듬도록 도와주면 좋음. 짝 엄태훈과 주제가 다름.</t>
        </is>
      </c>
      <c r="F14" s="5" t="inlineStr">
        <is>
          <t>자료원 일부 판독 어려움 / 짝과 주제 불일치</t>
        </is>
      </c>
    </row>
    <row r="15" ht="286" customHeight="1">
      <c r="A15" s="4" t="inlineStr">
        <is>
          <t>P-3</t>
        </is>
      </c>
      <c r="B15" s="5" t="inlineStr">
        <is>
          <t>진로 프로젝트 3차시(주제탐구): 자료 수집</t>
        </is>
      </c>
      <c r="C15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5" s="5" t="inlineStr">
        <is>
          <t>[주제탐구] 자료 3개(학술 자료 중심)
· ① 「2024 디지털 크리에이터 미디어 산업 실태조사」: 국내 디지털 크리에이터 미디어 산업 전체 매출액이 약 3,159억 원(판독 일부 어려움)으로 매년 큰 폭 성장. 그러나 매출 5억 원 미만 소규모 사업체가 65.4%를 차지하는 등 수익 격차가 심하고, 광고·협찬 중심 수익 모델에 편중됨
· ② 연세대 바른ICT연구소 「지식경영연구」 게재 논문(2025): 인스타 릴스·유튜브 쇼츠 등 숏폼 크리에이터 콘텐츠의 강한 자극성과 자동 알고리즘 구조가 20대·청소년의 스마트폰 과의존과 몰입을 악화시킨다는 연구 결과
· ③ 이경기·최진호 「Z세대 이용자의 숏폼 동영상 지속 이용의도 및 중독 결정요인」, 『한국방송학보』 39권 1호(2025): 숏폼 콘텐츠 이용 동기와 몰입도가 지속적 이용·중독에 미치는 영향을 분석, 자기 통제력이 낮은 이용자일수록 자극적인 숏폼에 더 쉽게 몰입하고 중독될 위험이 높음을 밝힘</t>
        </is>
      </c>
      <c r="E15" s="5" t="inlineStr">
        <is>
          <t>실태조사·학술지 논문 등 공신력 있는 자료를 출처까지 정확히 적음. 2차시에 예시와 비슷하다고 짚었던 주제(방송 콘텐츠·알고리즘이 청소년에게 미치는 영향)를 자료로 탄탄하게 뒷받침함. 작성 예시(숏폼·도파민)와 여전히 주제가 가까움.</t>
        </is>
      </c>
      <c r="F15" s="5" t="inlineStr">
        <is>
          <t>자료 ④·⑤, 나의 생각/메모 미기재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11216 이봉희)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않음(스캔 순서가 역순으로 되어 있음).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06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나는 쌍둥이 자매가 있다(?), 나는 운동을 좋아한다(?), 나는 서울 출신이다(?)(덧써서 일부 판독 어려움)
· 질문지: 진로를 자신 있게 말할 수 있다 '매우 그렇다' / 꿈을 위해 노력 '그렇다' / 가족과 대화·필요한 공부 알고 노력·상담 경험 모두 '매우 그렇다' / 상담 상대: 부모·친척
· 진로 결정 시 중요: 나의 소질과 적성 / 정보 탐색: 인터넷 / 노력: 다양한 진로 체험 활동 / 어려운 점: 진로 관련 정보 탐색이 어려워서
· 약속: ★존중 — '무엇보다도 상대방 혹은 내가 자신의 진로에 대해 말하는 것이기에 존중하는 것이 가장 중요하다 생각했다'
· 깨달은 점: '학교 시설'</t>
        </is>
      </c>
      <c r="E5" s="5" t="inlineStr">
        <is>
          <t>학기 초부터 진로 확신과 가족과의 진로 대화가 모두 매우 높음.</t>
        </is>
      </c>
      <c r="F5" s="5" t="inlineStr">
        <is>
          <t>진진가 퀴즈 정답·인사, 진로수업에 바라는 것, 다섯 글자 다짐 미기재</t>
        </is>
      </c>
    </row>
    <row r="6" ht="178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최저학력 / 정시: 수능 / 내신 5등급제, 1등급 상위 10%, 수행+지필, 수행평가 비중 높음
· 졸업 192학점, 2학년부터 진로에 맞게, 여름방학 전 진로 정하기
· 학종 정성평가 대상: 생기부·과정 / 세특 = 세부능력 &amp; 특기사항, 태도: '수업에 적극적으로 참여'
· 창체: 자율·자치(?), 동아리(?) / 담임 기록 칸에 '세특'으로 적음 / 2028 수능: 공통, 공통사회·공통과학, 내신과 생기부 반영 / 역전 칸에 '세특'</t>
        </is>
      </c>
      <c r="E6" s="5" t="inlineStr">
        <is>
          <t>형광펜으로 활동지 전체에 표시하며 적극적으로 참여함. 일부 칸은 개념을 혼동해 적음(담임 기록 → '세특').</t>
        </is>
      </c>
      <c r="F6" s="5" t="inlineStr">
        <is>
          <t>7번 '주도성', 8번 '활동 후 나의 다짐' 미기재</t>
        </is>
      </c>
    </row>
    <row r="7" ht="136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 — 계산 과정을 직접 풀어서 작성
· 목표 점수: 공통수학 95점
· 시험 계획(공통수학만): 4/13 6~8시 이차함수 → 4/14 10시~11시 교과서 풀기 → 4/15 8~10시 이차함수 → 4/18 2시~4시 틀린 문제 교과서 다시 풀기(통합과학 칸에 4/13 '간(?) 시간 1시간 알기' 메모)</t>
        </is>
      </c>
      <c r="E7" s="5" t="inlineStr">
        <is>
          <t>공통수학 목표를 95점으로 높게 잡고 시간대까지 적은 공부 계획을 세움. 다른 과목은 비어 있음.</t>
        </is>
      </c>
      <c r="F7" s="5" t="inlineStr">
        <is>
          <t>3번 변수 문항, 4번 느낀 점, 공통수학 외 목표·계획 미기재</t>
        </is>
      </c>
    </row>
    <row r="8" ht="192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①개방성(파블로 피카소 / 글로벌 홍보전문가·다문화 언어교사·융합형 디자이너) ②끈기(세종대왕 / 반려동물 행동교정 전문가·운동선수·연주가 등) ③감사(소크라테스 / 사회복지사·종교인 등)
· 핵심 강점 '끈기' 연관어: '운세'만 적음
· 희망 전공: 법률·행정, 사회·심리, 수학·물리 / 추천 전공: 법률·행정, 초·중등교육, 복지·상담 / 가장 선호 계열: 법률·행정
· 관련 직업·학과: 판사·검사·변호사·경찰관 / 경찰행정학과·군사학과·법학과·경찰법학과·행정학과, 교육학 연구원, 사회복지사 등
· 직업 가치: 안정성 &gt; 사회적 인정 &gt; 경제적 풍족</t>
        </is>
      </c>
      <c r="E8" s="5" t="inlineStr">
        <is>
          <t>희망 1순위(법률·행정)와 추천 1순위가 일치해 경찰 진로와 잘 맞음.</t>
        </is>
      </c>
      <c r="F8" s="5" t="inlineStr">
        <is>
          <t>강점 강화 방안, 일치 여부 서술, 선호 직무 유형 미기재</t>
        </is>
      </c>
    </row>
    <row r="9" ht="430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경찰(국민이 안전한 생활을 할 수 있도록 질서 유지 및 범죄 예방, 안전사고 등의 활동을 하며, 원활한 교통 흐름을 위해 교통안전 등 사고 예방을 위한 계획을 세우는 일을 한다 / 강인한 체력, 순발력, 융통성, 사명감, 인내심, 배려심, 봉사의식, 리더십, 정직성 등 / 경찰행정학과·법학과·해양경찰학과), 수학 교사(중·고등학생에게 수학을 가르치는 일, 수학에 대한 흥미·자신감을 가지도록 도와줌 / 창의력, 책임감, 수리력, 언어구사능력, 분석적 사고능력, 논리적 사고 등 / 수학과·수리정보과학과·수학교육과 등), 변호사(소송제기 및 변호, 형사소송 시 취하·조정·이의·화해 진행, 변론 &amp; 참소(?) 진행 / 국어·사회 등 기초교육에 대한 흥미, 문제해결능력, 통합적 사고능력, 책임의식 등 / 경찰법학과·법경찰학과·법학과·공공인재법학과·국제법무학과 등), 심리학 연구원(인간의 행동과 심리과정을 연구해 의학·교육·산업 등 분야에서 심리학 문제를 진단하고 해결 / 관찰력, 의사소통능력, 논리적 사고능력, 보고서 작성능력, 인간에 대한 관심 등 / 상담심리학과·심리학과·사회복지학과 등)
· 준결승: 경찰('다른 사람들을 돕는 일이 의미 있고 뜻깊다고 생각하기 때문에') vs 변호사('여러 사람들을 만나는 게 재밌을 거 같아서') → 최종 '경찰' — '어릴 적부터 해 보고 싶은 꿈이었기에' / 변호사 포기 이유: '변호사는 인재가 너무 많아서'
· 가치관 비교: '경찰이라는 직업은 안정성은 좀 떨어지지만 사회적 인정만큼은 좋은 직업 같다. 경제적으로도 풍족하다. 그렇기에 잘 맞는 직업이라 볼 수 있다'</t>
        </is>
      </c>
      <c r="E9" s="5" t="inlineStr">
        <is>
          <t>4개 직업 정보를 빽빽하고 정확하게 채운, 반에서 가장 꼼꼼한 1-5 중 하나. 어릴 적부터의 꿈인 경찰을 가치관과 비교해 스스로 검증함.</t>
        </is>
      </c>
      <c r="F9" s="5" t="inlineStr">
        <is>
          <t>미래 명함 미작성</t>
        </is>
      </c>
    </row>
    <row r="10" ht="304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경찰행정학과 / 관심 대학: 동국대학교
· 학과 개요: '경찰에 관한 학문의 총체로서 국민의 안전과 사회 공공의 안녕 및 범죄예방을 위해 사회에서의 경찰의 역할과 효율에 관한 경찰 조직의 형태를 연구합니다'
· 연결 포인트: '어려운 처한 사람을 도와주는 것에 책임감을 느끼고, 뿌듯한 질서(?)와 사회 전반의 치안을 연구·범죄를 예방하는 경찰행정학과가 나랑 적합하다고 생각했다'
· 고교 과목: 수학, 사회, 과학, 체육 / 대학 교과목: 수사, 경찰과 사회, 범죄예방론, 범죄수사론, 경찰관리, 한국경찰사 등
· 자격증: 일반경비지도사, 무도자격증, 태권도, 유도, 정책분석평가사 등 / 진출: 경찰관, 법원공무원, 경찰관, 민간조사원, 사이버수사요원, 군수사관, 교정직 공무원, 출입국관리관, 변호사 등
· 노력할 것: '수학, 영어 집중 공부, 한국사·사회 점수 챙기기, 문제 해결 능력 &amp; 탐구력 &amp; 독서량 키우기, 생활기록부 교과 세부능력 및 특기사항에 기록될 수 있게 노력한다'</t>
        </is>
      </c>
      <c r="E10" s="5" t="inlineStr">
        <is>
          <t>경찰 진로와 일관되고, 다짐이 학생부 관리까지 이어져 구체적임.</t>
        </is>
      </c>
      <c r="F10" s="5" t="inlineStr">
        <is>
          <t>학과 전망 미기재</t>
        </is>
      </c>
    </row>
    <row r="11" ht="178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모집인원을 처음에 다른 숫자(410, 894·866, 285, 1166)로 적었다가 4·9·5·9로 고침 / 학생부교과(학생부교과 70%+교과 관련 서류 종합평가 30%), 학생부종합(1단계 서류 100%, 2단계 면접 40%+1단계 성적 60%, 최저 미적용), 논술(학생부 30%: 교과 20%+출결 10%, 논술 70%, 최저 있음), 정시(수능 80%+학생부평가 20%)
· 학생부교과 반영 교과: 국어·수학·영어·사회·과학 등, 공통과목을 제외한 성취도와 석차등급이 병기되는 상위 10과목</t>
        </is>
      </c>
      <c r="E11" s="5" t="inlineStr">
        <is>
          <t>처음 숫자를 틀렸다가 스스로 바로잡고 반영 교과까지 정확히 채움.</t>
        </is>
      </c>
      <c r="F11" s="5" t="inlineStr">
        <is>
          <t>2번 step1·step2 미기재</t>
        </is>
      </c>
    </row>
    <row r="12" ht="178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5·7·8차시 모두 '그대로 유지'에만 체크(기록 칸은 비어 있음)
· 최종 목표: 사회계열 / 경찰 / 경찰행정학과 / 동국대
· 과목 선택: 국어 — 주제탐구 독서, 매체 의사소통 / 수학 — 경제 수학, 미적분Ⅱ / 사회 — 사회와 문화, 경제, 국제 관계의 이해, 여행지리(?), 법과 사회, 윤리와 사상, 세계사, 세계시민과 지리, 정치, 현대사회와 윤리, 도시의 미래 탐구, 사회문제 탐구, 금융과 경제생활 / 기타(교양) — 중국어 회화, 일본어
· 2학기 다짐: '시험 대비 더 노력하자'</t>
        </is>
      </c>
      <c r="E12" s="5" t="inlineStr">
        <is>
          <t>1학기 내내 경찰로 진로가 확고하고, 과목 선택도 사회 계열에 집중해 진로와 잘 맞게 설계함. P-1 계획서 주제('마약 범죄와 경찰의 역할')까지 일관됨.</t>
        </is>
      </c>
      <c r="F12" s="5" t="inlineStr">
        <is>
          <t>돌아보기 기록·바뀐/유지 이유, 영어·과학 과목, 대입 전형, 2학기 집중 과제 미기재</t>
        </is>
      </c>
    </row>
    <row r="13" ht="232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2024 사범대학 교육학과(5조)
· 학업역량: B&gt;A&gt;C — 이유: '아는 것과 모르는 것을 잘 구별한 점이 가장 인상 깊어 B를 선택함.'
· 진로역량: A&gt;C&gt;B — 이유: '스스로 질문을 던지고 더 심화 과정을 고민하는 것이 인상 깊었던 A를 선택함.'
· 공동체역량: A&gt;B&gt;C — 이유: '갈등을 잘 해결하는 게 가장 인상 깊음.'
· 조별 예상 순위: A-C-B / 결과 확인: A-B-C → 불일치
· 느낀 점: '직접 평가해 보고 다른 사람들은 생기부를 어떻게 관리하는지 읽어 보면서 나도 저렇게 하면 좋겠다고 생각했고, 학업 태도에 더 신경 써야겠다고 생각했다.'
· 배운 점: '반장을 했다면 반장만 했다고 생기부에 쓰이는 것보다, 어떤 모습과 태도로 반장이라는 책임을 가지고 임했는지가 더 중요하다는 것을 새롭게 알게 되었다.'</t>
        </is>
      </c>
      <c r="E13" s="5" t="inlineStr">
        <is>
          <t>학업역량을 성적이 아닌 '메타인지'로 평가하는 등 근거가 가장 질적임. 배운 점에서 '직책보다 과정과 태도'라는 학생부 핵심을 정확히 짚음. 반에서 가장 완성도가 높은 편.</t>
        </is>
      </c>
      <c r="F13" s="5" t="n"/>
    </row>
    <row r="14" ht="276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① 주제탐구
· 선택 이유: '금요일에 탐구활동을 왜 해야 하는지에 대한 수업을 듣고 탐구활동을 해보고 싶다고 생각했기에 주제탐구를 골랐다'
· 관심 분야: 경찰 / 이유: '초등학생 때부터 꿈꿔왔던 꿈이자 가장 존경하고 의미 있다고 생각하는 직업이기에'
· 잠정 주제: '마약 범죄가 점점 증가하는데, 그것에 대해 예방하는 경찰의 모습·역할'
· 주제 선택 이유: '마약 범죄가 점점 늘어난다는 뉴스를 보고, 왜 늘어나는지, 경찰이 어떻게 잡는지 궁금해서'
· 계획: 2차시 마약의 정의·생겨난 계기·확산 탐색 → 3차시 마약 관련 범죄 사례 탐색(예전~최근) → 4차시 예전·최근 사건의 차이점·공통점 → 5차시 경찰의 검거 방법 탐색(보고서) → 6차시 PPT 수정·최종 점검(PPT) → 7차시 최종 완성
· 다짐: '8차시 동안 해야 할 일들을 미루지 않고 잘 완성하겠다!' / 자가 점검 3개 모두 체크</t>
        </is>
      </c>
      <c r="E14" s="5" t="inlineStr">
        <is>
          <t>초등학생 때부터 경찰이 꿈이었다고 밝힘. 주제·계획·산출물이 잘 연결되어 있어 반에서 가장 완성도 높은 계획서 중 하나.</t>
        </is>
      </c>
      <c r="F14" s="5" t="n"/>
    </row>
    <row r="15" ht="191" customHeight="1">
      <c r="A15" s="4" t="inlineStr">
        <is>
          <t>P-2</t>
        </is>
      </c>
      <c r="B15" s="5" t="inlineStr">
        <is>
          <t>진로 프로젝트 2차시(주제탐구): 탐구 방법 안내 &amp; 탐구계획서</t>
        </is>
      </c>
      <c r="C15" s="5" t="inlineStr">
        <is>
          <t>통계·기사·논문·기관 사이트 등 자료원 안내, 핵심 탐구 질문과 하위 질문 3개 작성, 활용할 자료원 정리</t>
        </is>
      </c>
      <c r="D15" s="5" t="inlineStr">
        <is>
          <t>[주제탐구] 짝 없음('with X')
· 핵심 질문: '마약이란 무엇인가?' — 옆에 마약의 정의(신경계에 작용해 환각·각성 등을 일으키고 오래 쓰면 금단현상이 생김)와 마약류관리법상 분류(마약·향정신성의약품·대마)를 메모함
· 하위 ①: 마약이 생기게 된 계기는 무엇인가?
· 하위 ②: 마약은 어떻게 만들어졌는가?
· 하위 ③: 예전 마약 범죄 사례와 현재 마약 범죄 사례는 어떻게 다른가? / 마약 범죄는 무엇으로 인해 검거되는가?
· 자료원: 뉴스 기사, 통계청</t>
        </is>
      </c>
      <c r="E15" s="5" t="inlineStr">
        <is>
          <t>1차시 주제('마약 범죄 증가와 이를 예방·검거하는 경찰의 역할')에 비해 질문이 마약 자체의 정의·기원 쪽으로 옮겨가 경찰 역할과의 연결이 약해짐. 하위 ③의 '검거' 질문을 핵심 질문으로 끌어올리도록 조언하면 좋음.</t>
        </is>
      </c>
      <c r="F15" s="5" t="n"/>
    </row>
    <row r="16" ht="132" customHeight="1">
      <c r="A16" s="4" t="inlineStr">
        <is>
          <t>P-3</t>
        </is>
      </c>
      <c r="B16" s="5" t="inlineStr">
        <is>
          <t>진로 프로젝트 3차시(주제탐구): 자료 수집</t>
        </is>
      </c>
      <c r="C16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6" s="5" t="inlineStr">
        <is>
          <t>[주제탐구] 자료 1개
· ① 대검찰청: 경찰서는 6개 부서로 나뉘는데 마약범죄수사팀은 수사과·형사과에 속함. 마약범죄수사팀은 마약류 제조·유통·밀수를 단속하며, 최근 늘어나는 인터넷 등을 이용한 비대면 마약 거래와 가상자산 결제 수사를 전담함</t>
        </is>
      </c>
      <c r="E16" s="5" t="inlineStr">
        <is>
          <t>1~2차시의 경찰·마약 범죄 주제와 일관됨. 공신력 있는 기관 자료를 골랐으나 1개뿐이라, 2차시 하위 질문(마약의 정의·기원, 범죄 사례 변화)에 맞는 자료를 더 모아야 함.</t>
        </is>
      </c>
      <c r="F16" s="5" t="inlineStr">
        <is>
          <t>자료 ②~⑤, 나의 생각/메모 미기재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11217 이우주)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않음(스캔 순서가 역순으로 되어 있음). 흘려 쓴 곳이 많아 일부 내용은 판독이 어려움.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304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피아노를 배운 적이 있다, 고양이를 키운다, MBTI가 ISTP다, 선덕여고를 나왔다(?), 왕과 사는 남자를 본 적 있다, 중학교 때 90점 이상으로 다닌(?) 적이 있다(일부 판독 어려움)
· 질문지: 진로를 자신 있게 말할 수 있다 '그렇다~보통'(두 칸 표시) / 꿈을 위해 노력 '보통' / 가족과 대화 '그렇지 않다' / 필요한 공부 알고 노력 '보통' / 상담 경험 '그렇지 않다' / 상담 상대: 기타 '딱히 없다'
· 진로 결정 시 중요: 나의 소질과 적성, 기타 '전망, 페이 등' / 정보 탐색: 인터넷, 유튜브 / 노력: 틈틈이 정보 수집
· 어려운 점: 기타 '적성이 안 맞을 것 같을 때, 관심 있는 진로에 대해 안 좋은 말이 많을 때, 전망·취업 어려울 때'
· 진로수업에 바라는 것: '대학교 학과들에 대한 정보'
· 약속: ★적극 — '그래야 진로를 찾기 쉬울 것 같다' / 깨달은 점: '이 시간에 무엇을 하는지' / 다섯 글자 다짐: '새로운 마음'</t>
        </is>
      </c>
      <c r="E5" s="5" t="inlineStr">
        <is>
          <t>진로를 정할 때 전망·보수를 중요하게 보고, 관심 진로에 대한 부정적인 평판에 영향을 받는다고 스스로 적음.</t>
        </is>
      </c>
      <c r="F5" s="5" t="inlineStr">
        <is>
          <t>진진가 퀴즈 정답·인사 미기재</t>
        </is>
      </c>
    </row>
    <row r="6" ht="150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최저학력 / 정시: 수능 / 내신 5등급제, 1등급 상위 10%, 지필+수행, 수행평가 비중 높음
· 졸업 192학점, 2학년부터 진로에 맞게, 1학년 여름방학 전 진로 정하기
· 학종 정성평가 대상: 생기부·과정 / 세특 = 세부능력 및 특기사항, 태도: '적극적인 태도'
· 창체: 자율, 동아리 / 행동특성 및 종합의견 / 2028 수능: 공통, 통합사회·통합과학, 내신/생기부 반영 / 주도성</t>
        </is>
      </c>
      <c r="E6" s="5" t="inlineStr">
        <is>
          <t>대부분 정확하게 채움.</t>
        </is>
      </c>
      <c r="F6" s="5" t="inlineStr">
        <is>
          <t>7번 '역전', 8번 '활동 후 나의 다짐' 미기재</t>
        </is>
      </c>
    </row>
    <row r="7" ht="136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 — 계산식과 함께 정확
· 등급 결정 변수: 동점자 '전원 2등급', 대학이 깊게 보는 항목 '세특', NEIS 확인 '1학년 졸업 후 확인 가능'(?)
· 느낀 점: '반에서 1~2등 해야 한다'
· 목표 점수: 6과목 모두 1등급으로 보이는 표시(판독 어려움, 한국사에 동그라미)</t>
        </is>
      </c>
      <c r="E7" s="5" t="inlineStr">
        <is>
          <t>3번 변수 문항까지 모두 답함. '반에서 1~2등 해야 한다'고 적어 목표 의식이 높음.</t>
        </is>
      </c>
      <c r="F7" s="5" t="inlineStr">
        <is>
          <t>목표 점수 판독 어려움 / 시험 전 날짜별 계획 페이지 미포함 또는 미기재</t>
        </is>
      </c>
    </row>
    <row r="8" ht="262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①원만성(넬슨 만델라 / 국제통상 전문가·외교관·인사 전문가) ②도덕성(임마누엘 칸트 / 의약품 인허가 전문가·보호교사·판사) ③예술적 감성(레오나르도 다빈치 / 공연기획자·사진작가·건축가·작곡가 등)
· 핵심 강점 '예술적 감성' 연관어: 감각, 탐구, 건축, 영화, 감성(?), 공학(?), 오감 등(일부 판독 어려움) / 강화 방안: '세상을 나만의 방식으로 바라보는 독서나 여행 등을 하며 경험을 쌓는다'(일부 판독 어려움)
· 희망 전공: 의료, 약학, 전기·전자·컴퓨터 / 추천 전공: 외국어문학, 약학, 의료 / 가장 선호 계열: 미기재
· 일치 여부: '다 일치하지 않음. 내가 원하는 것과 적성이 다를 수 있는 것 같기도 하다'(일부 판독 어려움)
· 선호 직무 유형: 연구자형 / 직업 가치: 경제적 풍족 &gt; 안정성 &gt; 창의성</t>
        </is>
      </c>
      <c r="E8" s="5" t="inlineStr">
        <is>
          <t>희망 전공(의료·약학·전기전자)과 추천 전공이 일부만 겹침. '내가 원하는 것과 적성이 다를 수 있다'고 스스로 짚음.</t>
        </is>
      </c>
      <c r="F8" s="5" t="inlineStr">
        <is>
          <t>가장 선호하는 계열 미기재</t>
        </is>
      </c>
    </row>
    <row r="9" ht="332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약사(질병 치료, 건강 관련 상담, 처방전에 따라 약 조제, 새로운 의약품 연구 개발 등 / 자기 성찰 능력, 수리·논리력 / 약학과·한약학과), 기계공학 기술자·연구원(기계·기구·산업설비 등을 연구·개발·설계 / 수리·논리력, 공간지각력 / 기계공학과·자동차공학과·항공공학과), 반도체공학 기술자(반도체 가공 성능 개선, 반도체 개발, 반도체 제조 및 공정 관련 공정·회로 설계 등 / 수리·논리력, 공간지각력 / 반도체학과·전기·전자공학과·신소재공학과), 물리학 연구원(물리학 이론·기법을 산업·의료 등에 응용하기 위한 연구 / 수리·논리력 / 물리학과·과학교육과)
· 준결승: 반도체공학 기술자('요즘 반도체가 인기가 많아서') vs 물리학 연구원('물리학 연구원이 더 재미있을 것 같다') → 최종 '반도체공학 기술자' — '반도체가 전망이 좋다고 생각해서' / 포기 이유: '반도체공학 기술자가 내 삶을 더 풍족하게 해줄 것 같음'
· 가치관 비교: '맞는 것 같다. 선호 직무 유형이 연구자형인데 반도체공학 기술자와 잘 어울림. 직업 가치 2순위는 안정성인데 반도체는 앞으로 주목받고 있고 인력이 필요하니 반도체만 있으면 안정적인 느낌이 들어서'(일부 판독 어려움)</t>
        </is>
      </c>
      <c r="E9" s="5" t="inlineStr">
        <is>
          <t>1-4의 의료·약학 희망에서 반도체·물리 공학 쪽으로 방향이 바뀜. '재미'(물리)보다 '전망과 풍족함'(반도체)을 택해, 1-1에서 밝힌 '전망·페이 중시'와 일관됨.</t>
        </is>
      </c>
      <c r="F9" s="5" t="inlineStr">
        <is>
          <t>미래 명함 미작성</t>
        </is>
      </c>
    </row>
    <row r="10" ht="262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물리학과 / 관심 대학: 한양대학교
· 학과 개요: '물리학과에서는 자연 현상을 이해하고 수학을 이용하여 객관적으로 설명하며, 근본 원리를 바탕으로 자연 현상을 이해함으로써 보다 본질적인 기본 법칙을 찾고자 공부한다'(일부 판독 어려움)
· 연결 포인트: '나의 흥미 → 천문 → 입자물리학'
· 고교 과목: 물리학, 역학과 에너지, 전자기와 양자, 물리학 실험 등 / 대학 교과목: 일반물리학, 역학, 전자기학, 고체물리학 등
· 자격증: 방사선비파괴검사기사, 변리사, 에너지관리기사 등 / 진출: 기업체(전기전자·금속·재료·항공 산업체 등), 연구기관 등
· 학과 전망: '취업률은 아니지만, 물리학은 과학기술 발전을 주도하며 미래 첨단기술 개발에 필요한 기반 분야에서 필수적인 역할을 담당하는 학과이다. 물리학과는 졸업 후에도 다양한 분야로 진출할 수 있다'
· 노력할 것: '기말 잘 보기'</t>
        </is>
      </c>
      <c r="E10" s="5" t="inlineStr">
        <is>
          <t>5차시에 '재미있을 것 같다'며 준결승까지 갔던 물리학으로 학과 탐색을 함. 천문→입자물리학이라는 흥미의 흐름을 스스로 연결함.</t>
        </is>
      </c>
      <c r="F10" s="5" t="n"/>
    </row>
    <row r="11" ht="136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학생부교과 4명(교과 70%+서류종합 30%), 학생부종합 9명(1단계 서류 100%, 2단계 면접 40%+1단계 성적 60%), 논술 5명(학생부 30%: 교과 20%+출결 10%, 최저 있음), 정시 9명(수능 80%+학생부평가 20%) — 여러 번 고쳐 씀
· 학생부교과 반영 교과: 국·수·영·사·과, 공통과목을 제외한 성취도와 석차등급이 병기되는 상위 10과목</t>
        </is>
      </c>
      <c r="E11" s="5" t="inlineStr">
        <is>
          <t>빨간 펜으로 여러 번 고치며 표와 반영 교과를 정확히 채움.</t>
        </is>
      </c>
      <c r="F11" s="5" t="inlineStr">
        <is>
          <t>2번 step1·step2 미기재</t>
        </is>
      </c>
    </row>
    <row r="12" ht="262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'반도체공학 기술자' 부분 수정 / 7차시 '물리학과' 그대로 유지 / 8차시 기록 없음 — 이유 '시간이 없어서 못 씀'(?)
· 최종 목표: 자연계열 / 물리학 연구원 / 물리학과 / 인서울
· 과목 선택: 수학(진로) — 기하, 인공지능 수학, 미적분Ⅱ / 사회 — '사회 안 들음 X' / 과학 — 물리학, 역학과 에너지, 화학, 화학 반응의 세계, 전자기와 양자, 세포와 물질대사, 생물의 유전, 고급물리학, 고급화학, 고급생명과학, 과학의 역사와 문화(융합) / 기타 — 프로그래밍, 인공지능 기초, 인간과 심리, 논리와 논술 활용 등(일부 판독 어려움)
· 대입: 수시 학생부교과·학생부종합, 정시 수능 / 2학기 집중 과제: '시험 잘 보기, 여러 활동 열심히 하기'(?)
· 2학기 다짐: '시험은 무조건 잘 보겠다. 공부는 이제는 꾸준히 할 것임'(일부 판독 어려움)</t>
        </is>
      </c>
      <c r="E12" s="5" t="inlineStr">
        <is>
          <t>5차시 반도체공학 기술자 → 최종 물리학 연구원으로, 준결승에서 '재미있을 것 같다'고 했던 물리학 쪽으로 돌아옴. 과학 과목을 고급 과목까지 폭넓게 설계했고, P-1 계획서의 '중력에 따른 시간 지연' 주제와도 잘 이어짐. 사회 과목은 아예 듣지 않겠다고 적어 과목 편중 여부 확인이 필요함.</t>
        </is>
      </c>
      <c r="F12" s="5" t="inlineStr">
        <is>
          <t>국어·영어 과목 설계 판독 어려움 / 사회 과목 'X'로 표시</t>
        </is>
      </c>
    </row>
    <row r="13" ht="213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2024 첨단융합학부(6조)
· 학업역량: C&gt;B&gt;A — 이유: 'C가 성적이 좋고 (계속) 증가함'(일부 판독 어려움)
· 진로역량: B&gt;C&gt;A — 이유: 노력하는 모습과 생기부를 긍정적으로 봄(일부 판독 어려움)
· 공동체역량: C&gt;B&gt;A — 이유: 생기부에 C가 주변 사람을 기분 좋게 해 준다는 등 긍정적인 내용이 있고, 스터디 그룹 프로젝트 계획·장기자랑 등 공동체 활동이 드러남
· 조별 예상 순위: A-B-C / 결과 확인: A-C-B → 불일치
· 느낀 점: '서울대 가는 사람들은 역시 생기부가 남달랐다. 나도 노력해야겠다.'
· 배운 점: '① 다양한 분야에서 좋은 결과를 내도록 노력해야 한다. ② 공부만 잘해선 안 된다.'</t>
        </is>
      </c>
      <c r="E13" s="5" t="inlineStr">
        <is>
          <t>공동체역량 근거를 학생부 속 구체적 사례로 제시함. 배운 점을 두 가지로 정리함.</t>
        </is>
      </c>
      <c r="F13" s="5" t="inlineStr">
        <is>
          <t>학업·진로역량 이유 일부 판독 어려움</t>
        </is>
      </c>
    </row>
    <row r="14" ht="346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① 주제탐구
· 활동지에 '(혼자서)', '(늦음/늦게 하나)'라는 메모가 있음
· 선택 이유: '2학년 때 과학중점과정을 하기도 하고 과학 주제에 관심이 있어서. 직접 조사하고 정리해볼 수 있는 좋은 기회인 것 같다. 독서도 좋지만 국어 시간 책 읽기 수행평가, 도서관 책 읽기 프로그램을 이미 하고 있어서'
· 관심 분야: 자연과학(물리), 기계공학, 빛·시간·우주
· 생각한 이유: 〈다큐인사이트〉에서 사람을 보조하는 웨어러블 로봇을 보고 관심이 생김, 영화 〈인터스텔라〉의 시간이 다르게 흐르는 장면이 인상 깊었음
· 잠정 주제: '중력의 크기에 따른 시간 지연' 또는 '우리가 사물의 형체와 색깔을 인식하기까지의 과정 분석'
· 주제 선택 이유: 시간은 절대적이라고 생각하기 쉽지만 상대적이고 느리게 흐를 수도 있다는 것을 알려주고 싶음 / 빛이 사물에 반사되어 눈으로 들어와 뇌가 인식하는 과정과 다양한 색이 보이는 원리가 궁금함
· 계획: 2차시 구체적 주제 선정·자료 수집 → 3차시 자료 수집 → 4차시 수집·분석 → 5차시 분석·정리(결과 도출) → 6차시 보고서 작성(PPT) → 7차시 발표 자료 제작 → 8차시 발표</t>
        </is>
      </c>
      <c r="E14" s="5" t="inlineStr">
        <is>
          <t>과학중점과정 진학 계획과 물리·우주 관심이 일관됨. 주제 후보 2개를 근거와 함께 매우 자세히 적어 탐구 의욕이 높음. 주제를 하나로 정하는 것이 다음 과제.</t>
        </is>
      </c>
      <c r="F14" s="5" t="inlineStr">
        <is>
          <t>한 줄 다짐·자가 점검 미기재</t>
        </is>
      </c>
    </row>
    <row r="15" ht="206" customHeight="1">
      <c r="A15" s="4" t="inlineStr">
        <is>
          <t>P-2</t>
        </is>
      </c>
      <c r="B15" s="5" t="inlineStr">
        <is>
          <t>진로 프로젝트 2차시(주제탐구): 탐구 방법 안내 &amp; 탐구계획서</t>
        </is>
      </c>
      <c r="C15" s="5" t="inlineStr">
        <is>
          <t>통계·기사·논문·기관 사이트 등 자료원 안내, 핵심 탐구 질문과 하위 질문 3개 작성, 활용할 자료원 정리</t>
        </is>
      </c>
      <c r="D15" s="5" t="inlineStr">
        <is>
          <t>[주제탐구] 짝 없음('with'란에 본인 이름)
· 핵심 질문: '빛을 통해 물체를 인식하는 과정은 어떻게 이루어지는가?' (처음 쓴 '빛은 무엇인가'는 지움)
· 하위 ①: 우리는 어떻게 앞을 보고 사물과 색깔을 인식하는가? / 왜 같은 곳에서 빛을 쏘아도 물체마다 각기 다른 색을 띠는가?
· 하위 ②: 눈으로 들어온 빛의 정보를 뇌에서 어떻게 받아들이는가?
· 하위 ③: 이 모든 과정의 출발점이 되는 빛은 어디에서 오는가? (꼭 태양 같은 별이 있어야 하는가, 별빛을 통해 과거의 별을 보는 것 등 추가 메모)
· 자료원: DBpia, DBpia AI</t>
        </is>
      </c>
      <c r="E15" s="5" t="inlineStr">
        <is>
          <t>1차시 후보 2개(중력에 따른 시간 지연 / 사물·색 인식) 가운데 '빛과 색 인식'을 골라 구체화함. 호기심이 넓게 뻗어 하위 ③이 천문 쪽으로 커지고 있어 범위를 잡아 주면 좋음.</t>
        </is>
      </c>
      <c r="F15" s="5" t="inlineStr">
        <is>
          <t>하위 ③ 옆 메모 일부 판독 어려움</t>
        </is>
      </c>
    </row>
    <row r="16" ht="122" customHeight="1">
      <c r="A16" s="4" t="inlineStr">
        <is>
          <t>P-3</t>
        </is>
      </c>
      <c r="B16" s="5" t="inlineStr">
        <is>
          <t>진로 프로젝트 3차시(주제탐구): 자료 수집</t>
        </is>
      </c>
      <c r="C16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6" s="5" t="inlineStr">
        <is>
          <t>[주제탐구] 자료 수집 양식이지만 학번·이름 외에 아무것도 적지 않음(전체 빈칸)</t>
        </is>
      </c>
      <c r="E16" s="5" t="inlineStr">
        <is>
          <t>1~2차시에는 주제(빛과 색 인식 과정)와 계획을 구체적으로 적었던 학생인데 3차시는 비어 있음. 결석·시간 부족 등인지 확인이 필요함.</t>
        </is>
      </c>
      <c r="F16" s="5" t="inlineStr">
        <is>
          <t>자료 출처·핵심 내용 요약 ①~⑤, 나의 생각/메모 전체 미기재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11218 이름확인필요)</t>
        </is>
      </c>
    </row>
    <row r="2">
      <c r="A2" s="2" t="inlineStr">
        <is>
          <t>※ 활동지 스캔본(PDF)을 바탕으로 정리. 명단 사진에 없는 학번이며 이름 판독이 어려워 확인이 필요함. 1학기 활동지는 아직 업로드되지 않음.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170" customHeight="1">
      <c r="A5" s="4" t="inlineStr">
        <is>
          <t>2-2</t>
        </is>
      </c>
      <c r="B5" s="5" t="inlineStr">
        <is>
          <t>나도 입학사정관(서울대 합격생 학생부 평가)</t>
        </is>
      </c>
      <c r="C5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5" s="5" t="inlineStr">
        <is>
          <t>· 평가 사례: 2025 소비자학전공(3조)
· 학업역량: B&gt;C&gt;A(고쳐 씀, 판독 어려움) — 이유 미기재
· 진로역량: B&gt;C&gt;A — 이유 미기재
· 공동체역량: A&gt;C&gt;B(고쳐 씀, 판독 어려움) — 이유 미기재
· 조별 예상 순위: 미기재 / 결과 확인: 미기재
· 느낀 점: 미기재
· 배운 점: 미기재</t>
        </is>
      </c>
      <c r="E5" s="5" t="inlineStr">
        <is>
          <t>순위만 표시하고 근거·조별 결과·느낀 점·배운 점을 모두 비움. 이번에도 이름을 적지 않음.</t>
        </is>
      </c>
      <c r="F5" s="5" t="inlineStr">
        <is>
          <t>이름 미기재 / 순위 일부 고쳐 써서 판독 어려움 / 3개 역량 이유·예상·결과·느낀 점·배운 점 미기재</t>
        </is>
      </c>
    </row>
    <row r="6" ht="136" customHeight="1">
      <c r="A6" s="4" t="inlineStr">
        <is>
          <t>P-1</t>
        </is>
      </c>
      <c r="B6" s="5" t="inlineStr">
        <is>
          <t>진로 프로젝트 1차시: 3종 트랙 탐색·선택 및 8차시 개인 계획서</t>
        </is>
      </c>
      <c r="C6" s="5" t="inlineStr">
        <is>
          <t>주제탐구·진로독서·습관형성 3개 트랙 비교 후 1개 선택, 선택 트랙별 초기 아이디어 구상, 8차시 세부 계획 및 한 줄 다짐·자가 점검</t>
        </is>
      </c>
      <c r="D6" s="5" t="inlineStr">
        <is>
          <t>[선택 트랙] ② 진로독서
· 학번 11218, 이름은 판독 어려움(명단 사진에 11218이 없어 확인 필요)
· 선택 이유: '진로와 관련된 책을 읽으면서 …기 좋음'(끝부분 판독 어려움)
· 진로독서 이유: '책을 통해 다양한 직업의 특징을 보기 위해'
· 도서 선정 기준: 예시 중 '② 실제 직업인이 쓴 책'에 체크</t>
        </is>
      </c>
      <c r="E6" s="5" t="inlineStr">
        <is>
          <t>명단 사진에 없는 학번임. 전입생이거나 개인 파일이 따로 없는 학생일 수 있음. 이름 확인이 필요함.</t>
        </is>
      </c>
      <c r="F6" s="5" t="inlineStr">
        <is>
          <t>이름 판독 어려움 / 후보 도서·8차시 계획·다짐·자가 점검 미기재</t>
        </is>
      </c>
    </row>
    <row r="7" ht="193" customHeight="1">
      <c r="A7" s="4" t="inlineStr">
        <is>
          <t>P-2</t>
        </is>
      </c>
      <c r="B7" s="5" t="inlineStr">
        <is>
          <t>진로 프로젝트 2차시(진로독서): 도서 선정</t>
        </is>
      </c>
      <c r="C7" s="5" t="inlineStr">
        <is>
          <t>진로 독서가 필요한 이유 생각, 나의 도서 선정 기준 정리, 후보 도서 3권 비교 후 최종 1권 선정·이유 작성</t>
        </is>
      </c>
      <c r="D7" s="5" t="inlineStr">
        <is>
          <t>[진로독서] 짝 없음
· 진로독서를 하는 이유: 책에 쓰인 여러 사람의 관점·생각·주장을 볼 수 있고, 내 주장·생각과 비교할 수 있어서
· 도서 선정 기준: 실제 직업인이 쓴 책이거나 관련 전공자의 책
· 후보 도서: ① 『회계 무작정 따라하기』 ② 『읽으면 읽을수록 빠져드는 회계사 책』 ③ 『해커스 전산회계』
· 최종 선정: 『읽으면 읽을수록 빠져드는 회계사 책』
· 선정 이유: 기본 중의 기본이면서 딱딱한 이론서가 아니라 재미있게 읽을 수 있을 것 같아서(일부 판독 어려움)</t>
        </is>
      </c>
      <c r="E7" s="5" t="inlineStr">
        <is>
          <t>1차시엔 '다양한 직업의 특징'(도서 미정)이었는데 2차시에 회계·회계사로 관심 분야가 분명해짐. 이름은 여전히 판독이 어려움(정○○로 보임).</t>
        </is>
      </c>
      <c r="F7" s="5" t="inlineStr">
        <is>
          <t>이름 판독 어려움 / 후보 도서 제목·선정 이유 일부 판독 어려움(원본 확인 필요)</t>
        </is>
      </c>
    </row>
    <row r="8" ht="200" customHeight="1">
      <c r="A8" s="4" t="inlineStr">
        <is>
          <t>P-3</t>
        </is>
      </c>
      <c r="B8" s="5" t="inlineStr">
        <is>
          <t>진로 프로젝트 3차시(진로독서): 독서 전 활동 및 독서 활동 시작</t>
        </is>
      </c>
      <c r="C8" s="5" t="inlineStr">
        <is>
          <t>제목·표지를 보고 내용 예상하기, 목차 중 가장 궁금한 부분 정하기, 이 책을 통해 알고 싶은 것 미리 적기</t>
        </is>
      </c>
      <c r="D8" s="5" t="inlineStr">
        <is>
          <t>[진로독서] 독서 전 활동(연필이 흐리게 적혀 일부 판독 어려움)
· 예상한 내용: '회계와 관련된 내용일 것 같다'
· 가장 궁금한 부분: '회계를 몰라서 생긴 일'(추정)
· 알고 싶은 것: '회계를 알면 얼마나 좋고 일상에 도움이 되는지'</t>
        </is>
      </c>
      <c r="E8" s="5" t="inlineStr">
        <is>
          <t>2차시에 고른 회계 관련 도서로 독서를 시작함. 응답이 한 줄씩으로 짧음. 이번 활동지의 이름란은 '장○서'처럼 보이나 판독이 어려워 여전히 이름 확인이 필요함.</t>
        </is>
      </c>
      <c r="F8" s="5" t="inlineStr">
        <is>
          <t>책 제목 미기재 / 이름·궁금한 부분 판독 어려움(원본 확인 필요)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11219 정은혜)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1-5차시 활동지 1장만 있음(1-1~1-4, 1-6~1-8, 1학기 최종 없음). P-1 계획서 묶음에도 이 학생의 활동지가 없었음(결석·미제출 확인 필요). P-2 활동지 묶음에는 이 학생의 활동지가 없었음(결석·미제출 확인 필요). 2-2(나도 입학사정관) 활동지 묶음에도 이 학생의 활동지가 없었음(결석·미제출 확인 필요). P-3 활동지 묶음에도 이 학생의 활동지가 없었음(결석·미제출 확인 필요).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164" customHeight="1">
      <c r="A5" s="4" t="inlineStr">
        <is>
          <t>1-5</t>
        </is>
      </c>
      <c r="B5" s="5" t="inlineStr">
        <is>
          <t>최고 관심 직업 선정하기</t>
        </is>
      </c>
      <c r="C5" s="5" t="inlineStr">
        <is>
          <t>4차시 결과를 바탕으로 관심 직업 4개 정보 수집, 토너먼트로 최고 관심 직업 선정, 직업 가치관과 비교, 미래 명함 만들기</t>
        </is>
      </c>
      <c r="D5" s="5" t="inlineStr">
        <is>
          <t>· 3개 직업만 작성: 간호사(의사를 도와 간호사가 도와준다 / 환자와 원만한 관계를 유지한다 / 간호·보건학과), 유치원 교사(아이들이 즐겁고 안전하게 배우며 성장할 수 있도록 돕는 선생님이다 / 아이들과 잘 소통하며 책임감 있게 돌보고 가르칠 수 있는 능력이 중요하다 / 유아교육과), 가수(사람들 앞에서 노래를 부른다 / 노래 실력이 뛰어나야 한다 / 실용음악과)
· 토너먼트 없이 최종 '유치원 교사'만 적음 — 선택 이유 '아기들을 좋아해서' / 포기 이유: '힘들어서'</t>
        </is>
      </c>
      <c r="E5" s="5" t="inlineStr">
        <is>
          <t>간호·유아교육·음악으로 관심이 흩어져 있으나 최종으로 유치원 교사를 고름. 올라온 활동지가 이 한 장뿐이라 진로 흐름을 판단하기 어려움.</t>
        </is>
      </c>
      <c r="F5" s="5" t="inlineStr">
        <is>
          <t>4번째 직업, 토너먼트 과정, 가치관 비교, 미래 명함 미기재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11220 최나은)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않음(스캔 순서가 역순으로 되어 있음). P-2 활동지 묶음에는 이 학생의 활동지가 없었음(결석·미제출 확인 필요). 2-2(나도 입학사정관) 활동지는 제출함.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62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반려동물을 키운다, ○○중학교를 졸업했다, 피아노 학원을 다녔었다 / ISTJ이다, 운동을 좋아한다, 초등학교 때 전학을 갔다
· 질문지: 진로 자신감·꿈을 위한 노력·가족과 대화·필요한 공부 알고 노력 모두 '보통' / 상담 경험 '그렇다' / 상담 상대: 부모·친척
· 진로 결정 시 중요: 나의 소질과 적성 / 정보 탐색: 인터넷 / 노력: 진로 상담을 통한 진로 탐색 활동 참여
· 어려운 점: 생각하는 진로가 너무 많아 선택하기 어려워서
· 진로수업에 바라는 것: '없음'
· 약속: ★완벽 — '준비가 되어 있지 않다면, 다음 단계로 넘어갈 때 어려움이 있다고 생각하기 때문이다'
· 깨달은 점: '진로수업을 열심히 들어서 내 진로에 대해 알아가야겠다' / 다섯 글자 다짐: '열정과 노력'</t>
        </is>
      </c>
      <c r="E5" s="5" t="inlineStr">
        <is>
          <t>학기 초에는 진로 후보가 많아 고르기 어렵다고 응답함. '완벽' 약속을 고른 이유가 준비성을 중시하는 성향을 보여줌.</t>
        </is>
      </c>
      <c r="F5" s="5" t="inlineStr">
        <is>
          <t>진진가 퀴즈 정답·인사 미기재</t>
        </is>
      </c>
    </row>
    <row r="6" ht="164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최저학력 / 정시: 수능 / 내신 5등급제, 1등급 상위 10%, 지필+수행, 수행평가 비중 높음
· 졸업 192학점, 2학년부터 진로에 맞게, 1학년 여름방학 전 진로 정하기
· 학종 정성평가 대상: 과정 / 세특 = 세부능력 및 특기사항, 태도: '수업에 적극적으로 참여(발표, 질문, 과제 성실 수행)'
· 창체: 자율, 동아리 / 행동특성 및 종합의견 / 2028 수능: 공통, 공통사회·공통과학, 내신(생기부) 반영 / 역전, 주도성</t>
        </is>
      </c>
      <c r="E6" s="5" t="inlineStr">
        <is>
          <t>빈칸을 빠짐없이 정확하게 채움.</t>
        </is>
      </c>
      <c r="F6" s="5" t="inlineStr">
        <is>
          <t>8번 '활동 후 나의 다짐' 미기재</t>
        </is>
      </c>
    </row>
    <row r="7" ht="192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 — 계산식과 함께 정확
· 등급 결정 변수: 동점자 '전원 2등급'(이유까지 서술), 대학이 깊게 보는 항목 '과목별 세부능력 및 특기사항(세특)', NEIS 확인 '2학년 진급 후 확인 가능'
· 목표 점수: 6과목 모두 90점
· 시험 계획: 공통영어(단어 외우기, 본문 외우기·복습, 모의고사 복습, 전체적으로 복습) + 한국사(시험 범위 절반씩 복습, 헷갈리거나 기억 안 나는 부분 보기, 전체 복습, 핵심 부분 보고 복습) 날짜별 작성</t>
        </is>
      </c>
      <c r="E7" s="5" t="inlineStr">
        <is>
          <t>3번 변수 문항까지 정확히 답하고, 6과목 목표를 고르게 90점으로 설정함. 시험 계획은 영어·한국사 두 과목만 세움.</t>
        </is>
      </c>
      <c r="F7" s="5" t="inlineStr">
        <is>
          <t>4번 느낀 점, 영어·한국사 외 계획 미기재</t>
        </is>
      </c>
    </row>
    <row r="8" ht="248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①긍정성(프랭클린 루스벨트 / 창업투자 전문가·벤처투자가·홍보 전문가) ②계획성(벤자민 프랭클린 / 데이터 아키텍처 전문가·행정가·회계사) ③감정회복력(헬렌 켈러 / 스포츠 카운슬러·정신과 의사·사회복지사)
· 핵심 강점 '긍정성' 연관어: 믿음, 행복, 마음, 소통, 희망, 건강, 밝음, 미래 / 강화 방안: '밝고 긍정적으로 생각하고 말하기, 힘든 상황을 이겨내고 성공한 사람들의 이야기 찾아보기'
· 희망 전공: 경영·경제, 미술·디자인, 외국어문학 / 추천 전공: 경영·경제, 외국어문학, 음악 / 가장 선호 계열: 인문계열
· 일치 여부: '일치하지 않음. 미술·디자인을 좋아하긴 하지만 진로로 결정할 정도로 잘하거나 확신이 있는 것이 아니기 때문이라고 생각함'
· 선호 직무 유형: 글로벌형 / 직업 가치: 경제적 풍족 &gt; 안정성 &gt; 사회적 인정</t>
        </is>
      </c>
      <c r="E8" s="5" t="inlineStr">
        <is>
          <t>희망 1순위(경영·경제)가 추천 1순위와 일치함. 미술·디자인은 '좋아하지만 진로로 삼을 확신은 없다'고 스스로 구분해 판단함.</t>
        </is>
      </c>
      <c r="F8" s="5" t="n"/>
    </row>
    <row r="9" ht="346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번역가(한 언어의 글이나 말을 다른 언어로 정확하고 자연스럽게 옮기는 전문가 / 언어 능력, 글쓰기 능력, 문화 이해, 집중력과 꼼꼼함 / 외국어학과·통번역학과), 회계사(기업이나 기관의 재무 관련 업무를 전문적으로 수행 / 회계·재무 지식, 분석 능력, 논리적 사고, 정확성 / 회계학과·경영학과), 기업 고위임원(회사의 전략과 운영을 총괄하는 의사결정 / 리더십, 전략적 사고, 재무·경영 지식 / 경영학과·경제학과), 작가(아이디어와 상상력을 글로 표현해 독자에게 전달 / 창의력, 표현력, 상상력, 인내력 / 국어국문학과·문예창작학과)
· 준결승: 번역가('언어를 배우는 것을 좋아하고 다양한 문학작품을 읽어가는 것을 좋아하기 때문') vs 작가('상상력이 풍부하고 이야기를 만들고 표현하는 것을 좋아하기 때문') → 최종 '번역가' — '예전부터 관심이 있었고, 다양한 언어로 세계를 넓게 표현해보고 싶어서' / 작가 포기 이유: '상상력은 좋지만 글로 쓰는 능력이 부족하기 때문'
· 가치관 비교: '번역가는 사회적 인정은 가능하지만, 경제적 풍족과 안정성 면에서는 제한될 수 있다. 번역가의 평균 연봉은 약 3,200~4,000만 원이고, 경력과 전문 분야에 따라 최대 5,500만 원까지 가능하다. 프리랜서보다는 기업에 소속된 번역가가 안정성이 더 좋다'</t>
        </is>
      </c>
      <c r="E9" s="5" t="inlineStr">
        <is>
          <t>가치관 비교에서 연봉 자료까지 찾아 스스로 번역가의 한계를 짚음. 직업 가치 1순위가 '경제적 풍족'인 점과 연결되어, 이후 경제학과로 방향을 바꾸는 계기가 된 것으로 보임.</t>
        </is>
      </c>
      <c r="F9" s="5" t="inlineStr">
        <is>
          <t>미래 명함 미작성</t>
        </is>
      </c>
    </row>
    <row r="10" ht="262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경제학과 / 관심 대학: 인서울
· 학과 개요: '경제학은 인간 생활에서 가장 기본적인 경제 문제를 다루는 학문이다. 최근의 실업 문제라든지 환율 문제, 소득 불평등 문제, 남북 간 경제 협력이나 국가 간 무역 마찰 문제 등의 원인을 파악한다'
· 연결 포인트: '계획을 세우고 관리하는 것을 좋아하며 꼼꼼한 성격이다. 따라서 이러한 부분이 돈을 쓸 계획을 정하고 관리하는 것에 맞다고 생각한다'
· 고교 과목: 사회, 수학, 국어, 경제 / 대학 교과목: 미시경제학, 거시경제학
· 자격증: CPA(공인회계사), CFA(국제재무분석가), CRA(신용위험분석가) 등 / 진출: 컨설팅 회사, 은행 회사, 자산 운용사, 금융감독원 등
· 노력할 것: '꾸준하고 지속적인 경제 지식 습득과 현재의 경제 흐름을 파악하는 것. 전략 관련된 교과목인 사회, 수학을 꾸준히 공부하고, 더 나아가 국제적인 소통을 위해 영어, 중국어 등 외국어 공부하기'</t>
        </is>
      </c>
      <c r="E10" s="5" t="inlineStr">
        <is>
          <t>5차시 번역가에서 경제학과로 방향을 전환함. 1-4 강점(계획성)을 학과와 연결한 설명이 설득력 있음.</t>
        </is>
      </c>
      <c r="F10" s="5" t="inlineStr">
        <is>
          <t>학과 전망 미기재</t>
        </is>
      </c>
    </row>
    <row r="11" ht="220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학생부교과 4명(학생부교과 70%+서류종합 30%), 학생부종합 9명(1단계 서류 100%, 2단계 면접 40%+1단계 성적 60%), 논술 5명(논술 70%+교과 20%+출결 10%, 최저 있음), 정시 9명(수능 80%+학생부평가 20%)
· 반영 교과: 학생부교과·논술 모두 국·수·영·사·과 중, 공통과목을 제외한 성취도·석차등급이 병기되는 상위 10과목(이수 학점 미적용), 3학년 1학기까지 반영
· 경쟁력 별점: 학생부교과 3개, 학생부종합·논술·실기/실적·정시 각 2개
· 도전 전형: 인서울 경제학과(사회계열) — 수시 학생부교과, 정시 수능 / 선택 이유: '가장 보편적이고 이 중 합이 쉬울 것 같아서 선택함'</t>
        </is>
      </c>
      <c r="E11" s="5" t="inlineStr">
        <is>
          <t>반에서 드물게 1-8 활동지를 끝까지(반영 교과·별점·도전 전형) 모두 완성함.</t>
        </is>
      </c>
      <c r="F11" s="5" t="n"/>
    </row>
    <row r="12" ht="164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'번역가' 완전히 바뀜 / 7차시 '경제학과' 그대로 유지 / 8차시 '인서울·사회계열' 그대로 유지 — 이유 '아직 경제 쪽에 흥미를 느끼고 부모님과 상의했을 때도 변함이 없어 유지하고 있다'
· 최종 목표: 사회계열 / 경제학과
· 과목 선택: 기타 — 제2외국어
· 대입: 수시 학생부교과, 정시 수능 / 2학기 집중 과제: '내신 챙기면서 수능 준비하기'
· 2학기 다짐: '1학기보다 노력해서 성적 올리자!'</t>
        </is>
      </c>
      <c r="E12" s="5" t="inlineStr">
        <is>
          <t>1-5 번역가 → 1-7 이후 경제학과로 전환해 1학기 말까지 유지함. 부모님과도 상의를 마쳤다고 적음. P-1 계획서의 '경제 뉴스 읽는 습관 + 세계 경제 이슈 탐구'와 자연스럽게 이어짐.</t>
        </is>
      </c>
      <c r="F12" s="5" t="inlineStr">
        <is>
          <t>희망 직업, 목표 대학, 과목 선택 설계(기타 외) 미기재</t>
        </is>
      </c>
    </row>
    <row r="13" ht="215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2025 소비자학전공(3조)
· 학업역량: B&gt;C&gt;A — 이유: '전체적인 성적과 사회 이슈 과목을 학과에 맞게 선택한 것.'
· 진로역량: A&gt;B&gt;C — 이유: '선생님들께서 평가한 것과 활동을 통해 진로와 관련해 탐구하고 그에 따른 역량을 보고 판단함.'
· 공동체역량: C&gt;B&gt;A(고쳐 씀) — 이유: '평소 행실과 학급 친구를 대하는 태도, 동아리 부장이나 학급 회장 등의 유무를 보고 판단함.'
· 조별 예상 순위: B-C-A / 결과 확인: B-C-A → 일치
· 느낀 점: '전체적인 성적이 좋은 것에 더불어 진로와 맞는 선택과목 선택과 생기부를 채우는 것이 중요하다고 느꼈다.'
· 배운 점: '성적 관리뿐이 아닌 진로활동도 열심히 해야겠다.'</t>
        </is>
      </c>
      <c r="E13" s="5" t="inlineStr">
        <is>
          <t>P-2 활동지는 없었지만 이번 활동에는 참여함. 조별 예상과 결과가 일치하고, '진로에 맞는 과목 선택'까지 짚어 근거가 충실함. 경제·경영 관심과 소비자학 사례가 잘 맞음.</t>
        </is>
      </c>
      <c r="F13" s="5" t="inlineStr">
        <is>
          <t>공동체역량 순위 고쳐 씀(최종 C&gt;B&gt;A로 판단)</t>
        </is>
      </c>
    </row>
    <row r="14" ht="318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③ 습관형성(주제탐구 칸도 작성)
· 트랙은 ③ 습관형성에 체크했지만 주제탐구 작성란도 채움(탐구 유형 ① 진로연계형 체크)
· 선택 이유: '경제에 관심이 있어 진로를 경제학과로 정했는데 경제에 대해 아는 것이 별로 없어서, 뉴스나 기사를 보는 습관을 형성해 경제를 더 자세히 알고 탐구하고 싶어 선택했다'
· 관심 분야: 회계사, 공무원, 세무사 / 이유: 최근 금융 관련 책을 읽고 큰 흥미를 느낌
· 잠정 주제: '현재 세계적인 경제 이슈와 그에 따른 사회·경제적 영향에 대한 탐구'
· 습관: 흘러가는 경제를 알고 그것을 바탕으로 나의 재산을 키워나가는 것 / 개선할 습관: '계획은 세우지만 그것을 실천하지 않는 습관'
· 계획: 2차시 현재 습관·만들고 싶은 습관 진단 → 3차시 습관 자세히 설정 → 4차시 실천 가능한 계획 세우기 → 5차시 경제 뉴스·기사 정독 → 6차시 그 영향 탐구 → 7차시 실천 정리·느낀 점·앞으로의 계획
· 다짐: '8차시 동안 진행하는 것을 끝까지 완성하고 그 이후에도 꾸준히 이어가겠다' / 자가 점검 2개 체크</t>
        </is>
      </c>
      <c r="E14" s="5" t="inlineStr">
        <is>
          <t>경제학과라는 진로 목표가 분명함. '경제 뉴스 읽기 습관 + 경제 이슈 탐구'를 섞은 계획으로, 트랙 취지를 잘 살림. '계획만 세우고 실천하지 않는 습관'을 스스로 짚음.</t>
        </is>
      </c>
      <c r="F14" s="5" t="inlineStr">
        <is>
          <t>'닮고 싶은 사람' 이름 판독 어려움</t>
        </is>
      </c>
    </row>
    <row r="15" ht="291" customHeight="1">
      <c r="A15" s="4" t="inlineStr">
        <is>
          <t>P-3</t>
        </is>
      </c>
      <c r="B15" s="5" t="inlineStr">
        <is>
          <t>진로 프로젝트 3차시(습관형성): 습관 실천 — 1주차 습관 기록표</t>
        </is>
      </c>
      <c r="C15" s="5" t="inlineStr">
        <is>
          <t>이번 주 목표와 확인(인증) 방법 정하기, 요일별 실천 내용·실천/인증 체크·오늘의 한 줄 기록, 실천 일수와 한 주 소감 작성</t>
        </is>
      </c>
      <c r="D15" s="5" t="inlineStr">
        <is>
          <t>[습관형성] 1주차 습관 기록표
· 이번 주 목표: 현재 흘러가는 경제 상황 파악하기 / 확인(인증) 방법: 영상 시청 기록 캡처하기, 알고 있던 내용 및 새롭게 알게 된 내용 정리하기
· 월: KBS News·한국경제의 경제 뉴스·기사를 보고, 한국은행이 기준금리를 7·8월 연속 0.25%씩 올렸다는 것과 미국이 반도체를 겨냥한 '관세 규제'에 시동을 걸고 있다는 것 등을 알게 됨
· 오늘의 한 줄: '재작년 평균 3%대 후반이던 금리가 현재 6%에 육박하는 것에 더불어 코스피가 (9월 25일) 오후 들어 장중 6200선까지 밀린 것에 대해 현재 경제 상황이 마냥 좋다고만 생각되지 않는다.'
· 화~일: 비어 있음 / 실천 일수·느낀 점 미기재</t>
        </is>
      </c>
      <c r="E15" s="5" t="inlineStr">
        <is>
          <t>P-2는 미제출이었지만 1차시에 정한 '경제 뉴스 읽는 습관'을 그대로 실천함. 하루 기록의 질이 높고 자기 생각까지 덧붙임. 다만 월요일 1회만 기록되어 있어 꾸준한 기록을 격려할 필요가 있음.</t>
        </is>
      </c>
      <c r="F15" s="5" t="inlineStr">
        <is>
          <t>화~일 실천 기록, 이번 주 실천 일수, 느낀 점 미기재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11221 타이압)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않음(스캔 순서가 역순으로 되어 있음).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48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전교회장 경험, 7월생, 고백을 3번 이상 받았다
· 질문지: 진로 자신감 '보통' / 꿈을 위한 노력·가족과 대화·필요한 공부 알고 노력 '그렇다' / 상담 경험 '보통' / 상담 상대: 부모·친척
· 진로 결정 시 중요: 나의 소질과 적성, 부모님 의견 / 정보 탐색: 인터넷, 유튜브, 관련 서적, 부모님 말씀
· 노력: 틈틈이 정보 수집, 흥미와 적성을 찾기 위한 비교과 활동 참여
· 어려운 점: 진로 체험 기회 부족, 생각하는 진로가 너무 많아서, 정보 탐색이 어려워서, 기타 '어떤 방식으로 해야 성공적으로 이룰 수 있는지'
· 진로수업에 바라는 것: '창업이나 사업, 기업 운영'
· 약속: ★연결 / 깨달은 점: '배울 점이 확실히 있을 것 같다' / 다섯 글자 다짐: '성공해보자'</t>
        </is>
      </c>
      <c r="E5" s="5" t="inlineStr">
        <is>
          <t>학기 초부터 창업·기업 운영에 관심이 뚜렷함. '성공적으로 이루는 방법'을 고민한다고 적어 성취 지향이 드러남.</t>
        </is>
      </c>
      <c r="F5" s="5" t="inlineStr">
        <is>
          <t>진진가 퀴즈·인사, ★ 이유 미기재</t>
        </is>
      </c>
    </row>
    <row r="6" ht="150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교과·종합, 수능 최저 / 정시: 수능 / 내신 5등급제, 1등급 상위 10%, 수행+지필, 수행평가 비중 높음
· 졸업 192학점, 2학년부터 진로에 맞게, 여름방학 전 진로 정하기
· 학종 정성평가 대상: 과정 / 세특, 태도: '수업에 적극적으로 참여'
· 창체: 자율·자치, 창의적 체험(동아리 칸) / 행동특성 및 ··· / 2028 수능: 공통, 통사·통과 / 역전 칸에 '세특'</t>
        </is>
      </c>
      <c r="E6" s="5" t="inlineStr">
        <is>
          <t>대부분 채움.</t>
        </is>
      </c>
      <c r="F6" s="5" t="inlineStr">
        <is>
          <t>6번 마지막·7번 주도성·8번 다짐 미기재</t>
        </is>
      </c>
    </row>
    <row r="7" ht="94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249명까지(계산식은 1등급만)
· 등급 결정 변수: 동점자 '전원 2등급', NEIS 확인 '내년'
· 목표 점수: 통합사회 90+, 통합과학 칸 표시(판독 어려움)</t>
        </is>
      </c>
      <c r="E7" s="5" t="inlineStr">
        <is>
          <t>등급 인원과 일부 문항만 채움.</t>
        </is>
      </c>
      <c r="F7" s="5" t="inlineStr">
        <is>
          <t>대학이 깊게 보는 항목, 느낀 점, 나머지 목표 점수, 시험 계획 미기재</t>
        </is>
      </c>
    </row>
    <row r="8" ht="206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①창의성(장영실 / 가상현실 전문가·크리에이터) ②호기심(아인슈타인 / 로봇공학자·과학자·기자·시장·여론조사 전문가) ③공감(마더 테레사 / 상담사·치료사)
· 핵심 강점 '창의성' 연관어: 스티브 잡스, 새로움, 디자인, 리더, 호기심, 아이디어 뱅크, 장영실, 창의적 / 강화 방안: '창의적인 놀이를 만들어 친구들과 함께하기, 물건의 용도를 변형하기'
· 희망 전공: 경영·경제, 전자·전기·컴퓨터, 정치·국제 / 추천 전공: 경영·경제, 외국어문학, 전자·전기·컴퓨터 / 가장 선호 계열: 경영학과(경영·경제)
· 일치 여부: '비슷하다' / 직업 가치: 경제적 풍족 &gt; 창의성 &gt; 사회적 인정</t>
        </is>
      </c>
      <c r="E8" s="5" t="inlineStr">
        <is>
          <t>희망 1순위와 추천 1순위(경영·경제)가 일치하고, 3순위 중 전자·전기·컴퓨터도 겹침.</t>
        </is>
      </c>
      <c r="F8" s="5" t="inlineStr">
        <is>
          <t>선호 직무 유형 미기재</t>
        </is>
      </c>
    </row>
    <row r="9" ht="290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기업 고위임원(경영학적 지식을 바탕으로 기업의 기본 경영 방침과 목표를 계획하고, 목표 달성을 위한 전략과 정책 결정 / 수리·논리력 / 경영학과·경제학과), 국제무역사무원(무역 거래 흐름을 파악하여 수출이나 수입 거래에 필요한 과정과 정보 정리 / 수리·논리력 / 경영·경제학과), 로봇공학자(로봇 개발·생산·유지·운영 관리 / 수리·논리력 / 경영·무역학과로 적음), 시장·여론조사 전문가(시장과 여론을 파악하고 조사해 결과 제공 / 수리·논리력 / 경영·경제학과)
· 준결승: 기업 고위임원('도전을 즐기고 포기하지 않는 성격이 맞기 때문에') vs 로봇공학자('미래사회에 필요한 AI·로봇 분야에 종사하면 경제적으로 안정이 되기 때문에') → 최종 '기업 고위임원' — '다양한 일을 하며 살고, 경제적 안정을 동시에 하기 때문에' / 포기 이유: '좀 더 큰 가능성 있는 일을 하고 싶기 때문에, 도전하는 삶을 살고 싶기 때문이다'
· 가치관 비교: 직업흥미검사 결과와 관심 직업이 달라 고민했다는 내용(대부분 판독 어려움)</t>
        </is>
      </c>
      <c r="E9" s="5" t="inlineStr">
        <is>
          <t>필요 능력을 4개 직업 모두 '수리·논리력'으로 똑같이 적고, 로봇공학자의 관련 학과를 경영·무역학과로 적는 등 정보 조사가 얕음. 다만 '도전하는 삶'이라는 선택 기준은 1-1의 '성공해보자'와 일관됨.</t>
        </is>
      </c>
      <c r="F9" s="5" t="inlineStr">
        <is>
          <t>가치관 비교 대부분 판독 어려움 / 미래 명함 미작성</t>
        </is>
      </c>
    </row>
    <row r="10" ht="262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경영학과, 국제경영학과, 글로벌경영학과 / 관심 대학: 외대
· 학과 개요: '경영학과는 글로벌화, 정보화의 환경 속에서 창조적 지식인이자 조직의 선구적인 리더가 되는 데 요구되는 전문 경영인을 육성하는 것을 목표로 하는 대학입니다'
· 연결 포인트: '도전하는 것을 좋아하고, 많은 일을 해보고 싶음'
· 고교 과목: 대수, 미적분, 확통, 영어(Ⅰ, Ⅱ), 한국사, 통사, 경제 관련 과목 등, 금융과 경제생활 / 대학 교과목: 경영을 위한 경제학, 경영과학, 경영학 원론, 조직구조론, 재무관리, 비즈니스 커뮤니케이션 등
· 자격증: 공인회계사, 경영지도사, 신용분석사, 호텔경영사, 손해평가사 등 / 진출: 최고경영자, 노무사, 회계사, 투자전문가, 시장조사 전문가 등
· 노력할 것: '수학, 영어(★) 열심히 하기, 동아리와 비교과 활동 열심히 참여하기'</t>
        </is>
      </c>
      <c r="E10" s="5" t="inlineStr">
        <is>
          <t>경영 진로와 일관됨. 교과목·자격증·진출 분야를 꼼꼼히 찾아 적음.</t>
        </is>
      </c>
      <c r="F10" s="5" t="inlineStr">
        <is>
          <t>학과 전망 미기재</t>
        </is>
      </c>
    </row>
    <row r="11" ht="122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모집 인원 칸에 470·656·283·1166(대학 전체 인원으로 보임)을 적음 / 학생부교과(성취등급별 환산점수), 학생부종합(1단계 서류종합평가 100%, 2단계 면접 30%+1단계 ○%), 논술(논술 70%+교과 20%+출결), 정시(수능 100%)
· 반영 교과: 학생부교과·논술 모두 국·수·영·과·사 중 상위 10과목, 3학년 1학기까지</t>
        </is>
      </c>
      <c r="E11" s="5" t="inlineStr">
        <is>
          <t>11223 홍의찬과 같은 숫자(470·656·283·1166, 정시 수능 100%)를 적어 함께 작성한 것으로 보임. 모집 인원과 전형 비율 일부가 자료와 다름.</t>
        </is>
      </c>
      <c r="F11" s="5" t="inlineStr">
        <is>
          <t>2번 step1·step2 미기재</t>
        </is>
      </c>
    </row>
    <row r="12" ht="136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'CEO' / 7차시 '경영, 국제경영, 무역' 부분 수정 / 8차시 '한국외국어대학교' 그대로 유지
· 최종 목표: 경영·무역 / CEO / 경영, 국제경영, 무역 / 한국외국어대학교
· 대입: 수시 학생부종합·논술, 정시 수능 / 2학기 집중 과제: '수학, 영어, 모의고사'
· 2학기 다짐: '시간관리, 건강관리 잘하고 성적관리 잘하자'</t>
        </is>
      </c>
      <c r="E12" s="5" t="inlineStr">
        <is>
          <t>1학기 내내 경영·CEO로 진로가 일관되고 목표 대학(한국외대)까지 정함. P-1에서도 홍의찬과 경영·무역·AI로 공동 탐구 중.</t>
        </is>
      </c>
      <c r="F12" s="5" t="inlineStr">
        <is>
          <t>바뀐/유지 이유, 과목 선택 설계 전체 미기재</t>
        </is>
      </c>
    </row>
    <row r="13" ht="207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2024 사범대학 교육학과(5조)
· 학업역량: A&gt;B&gt;C — 이유: 'B는 성적 상승이 보이지 않고, C는 A에 비해 평균이 낮다.'
· 진로역량: C&gt;A&gt;B — 이유: 'C가 생기부에서 가장 진로를 위해 노력한 것이 보임. A는 활동이 눈에 띔.'
· 공동체역량: A&gt;C&gt;B — 이유: 'C는 한 가지에 깊게 파고드는 점이 돋보이는 활동이 보임. A는 리더 역량이 강하게 느껴짐.'
· 조별 예상 순위: A-C-B / 결과 확인: A-B-C(고쳐 씀) → 불일치
· 느낀 점: '입학사정관은 정말 쉬운 일이 아니라고 생각한다.'
· 배운 점: '눈에 띄는 생기부 활동이 있어야 좋은 학생으로 보일 것 같다.'</t>
        </is>
      </c>
      <c r="E13" s="5" t="inlineStr">
        <is>
          <t>학생끼리 비교하며 근거를 적는 방식이 돋보임(성적 추이·평균 비교 등). 3개 역량 모두 작성.</t>
        </is>
      </c>
      <c r="F13" s="5" t="n"/>
    </row>
    <row r="14" ht="136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① 주제탐구(진로연계형)
· 이름 옆에 'with 홍의찬'이라고 적힌 공동 작성 활동지
· 선택 이유: '진로·전공 분야를 정해두었고 이를 실현하여 탐구해보고 싶기 때문이다. 진로에 대해 더 자세히, 여러 분야를 알고 싶기 때문이다'
· 관심 분야: 경영, 무역, AI
· 생각한 이유: '하고 싶은 게 많고 도전적인 삶을 살고 싶은 생각이 들어 하게 되었다'</t>
        </is>
      </c>
      <c r="E14" s="5" t="inlineStr">
        <is>
          <t>경영·무역 쪽 진로를 정했다고 밝힘. 홍의찬과 공동 작업 중.</t>
        </is>
      </c>
      <c r="F14" s="5" t="inlineStr">
        <is>
          <t>잠정 주제·주제 선택 이유·8차시 계획·다짐 미기재</t>
        </is>
      </c>
    </row>
    <row r="15" ht="150" customHeight="1">
      <c r="A15" s="4" t="inlineStr">
        <is>
          <t>P-2</t>
        </is>
      </c>
      <c r="B15" s="5" t="inlineStr">
        <is>
          <t>진로 프로젝트 2차시(주제탐구): 탐구 방법 안내 &amp; 탐구계획서</t>
        </is>
      </c>
      <c r="C15" s="5" t="inlineStr">
        <is>
          <t>통계·기사·논문·기관 사이트 등 자료원 안내, 핵심 탐구 질문과 하위 질문 3개 작성, 활용할 자료원 정리</t>
        </is>
      </c>
      <c r="D15" s="5" t="inlineStr">
        <is>
          <t>[주제탐구] 11223 홍의찬과 공동
· 핵심 질문: '가격 전략이 소비자 구매 행동에 미치는 영향 탐구'
· 하위 질문 ①~③, 활용할 자료원: 미기재</t>
        </is>
      </c>
      <c r="E15" s="5" t="inlineStr">
        <is>
          <t>1차시에 '경영·무역·AI(주제 미정)'였는데 2차시에 경영·마케팅 주제로 정해짐. 홍의찬과 같은 내용이며 하위 질문과 자료원이 비어 있어 다음 차시 전에 보충이 필요함.</t>
        </is>
      </c>
      <c r="F15" s="5" t="inlineStr">
        <is>
          <t>하위 질문 ①~③, 활용할 자료원 미기재</t>
        </is>
      </c>
    </row>
    <row r="16" ht="205" customHeight="1">
      <c r="A16" s="4" t="inlineStr">
        <is>
          <t>P-3</t>
        </is>
      </c>
      <c r="B16" s="5" t="inlineStr">
        <is>
          <t>진로 프로젝트 3차시(주제탐구): 자료 수집</t>
        </is>
      </c>
      <c r="C16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6" s="5" t="inlineStr">
        <is>
          <t>[주제탐구] 자료 2개(학술 자료)
· ① 「온라인 쇼핑몰에서 가격 변화 전략에 관한 아이트래킹 연구」, 한국브랜드디자인학회(DBpia 논문): 모든 유형에서 소비자는 현재 가격을 먼저 확인한 뒤 제시된 과거 가격 정보를 탐색하는 공통된 경향을 보였으나, 유형별로 세부적인 시각적 주의 집중에는 차이가 있었음
· ② 「가격할인율과 구매의도 간의 관계에서 조절·매개효과…」, 한국관광연구학회(DBpia): 온라인 여행 상품 구매 상황에서 가격할인율과 시간적 거리, 사전 가격 지식이 구매의도에 미치는 영향을 실증적으로 분석한 자료</t>
        </is>
      </c>
      <c r="E16" s="5" t="inlineStr">
        <is>
          <t>2차시 핵심 질문(가격 전략이 소비자 구매 행동에 미치는 영향)에 맞는 학술 논문을 DBpia에서 찾아 요약함. 2차시엔 핵심 질문만 적었는데 이번엔 자료를 잘 찾아 옴. 짝 홍의찬과 같은 주제임.</t>
        </is>
      </c>
      <c r="F16" s="5" t="inlineStr">
        <is>
          <t>자료 ③~⑤, 나의 생각/메모 미기재 / 논문 ② 제목 일부 생략됨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11222 허윤주)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1-6차시 활동지가 포함되어 있지 않음(스캔 순서가 역순으로 되어 있음). 1-4·1-8 활동지는 학번·이름이 비어 있으나 개인 파일에 들어 있어 이 학생 것으로 정리함.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34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단원중을 졸업했다, 나는 남매다, 나는 끈기 있는 성격이다 / 강아지를 키운다, 국어를 좋아한다, 코리디스(?)를 좋아한다
· 질문지: 진로 자신감 '그렇지 않다' / 꿈을 위한 노력 '보통' / 가족과 대화 '그렇지 않다' / 필요한 공부 알고 노력·상담 경험 '그렇다' / 상담 상대: 교사, 학원 강사, 부모·친척, 선배나 친구
· 진로 결정 시 중요: 나의 소질과 적성, 학업 성적 / 정보 탐색: 인터넷, 유튜브, 진로 상담 / 노력: 진로 상담을 통한 진로 탐색
· 어려운 점: 진로 체험 기회 부족, 진로 관련 정보 탐색이 어려워서
· 약속: ★존중 — '상대의 꿈을 비판하지 않아야 할 것 같아서'(일부 판독 어려움) / 다섯 글자 다짐: '공부열심히'</t>
        </is>
      </c>
      <c r="E5" s="5" t="inlineStr">
        <is>
          <t>학기 초 진로 자신감과 가족과의 진로 대화가 낮게 응답됨. 상담은 여러 사람과 해 본 편.</t>
        </is>
      </c>
      <c r="F5" s="5" t="inlineStr">
        <is>
          <t>진진가 퀴즈 정답·인사, 깨달은 점 미기재</t>
        </is>
      </c>
    </row>
    <row r="6" ht="150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학생부교과·학생부종합, 수능 최저 / 정시: 수능 / 내신 5등급제, 1등급 상위 10%, 지필+수행, 수행평가 비중 높음
· 졸업 192학점, 2학년부터 진로에 맞게, 1학년 여름방학 전 진로 정하기
· 학종 정성평가 대상: 과정 / 세특 = 세부능력 및 특기사항, 태도: '수업시간에 적극적으로 참여'
· 창체: 자율, 동아리 / 행동특성 및 종합의견 / 2028 수능: 공통, 공통사회·공통과학, 내신(생기부) 반영 / 역전, 주도성</t>
        </is>
      </c>
      <c r="E6" s="5" t="inlineStr">
        <is>
          <t>빈칸을 빠짐없이 정확하게 채움.</t>
        </is>
      </c>
      <c r="F6" s="5" t="inlineStr">
        <is>
          <t>8번 '활동 후 나의 다짐' 미기재</t>
        </is>
      </c>
    </row>
    <row r="7" ht="150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중·고 성적 산출 차이, 5등급제 비율로 우리 학교(277명) 등급 커트라인 계산, 1차 정기시험 전 계획 점검</t>
        </is>
      </c>
      <c r="D7" s="5" t="inlineStr">
        <is>
          <t>· 커트라인: 1등급 28명, 2등급 94명, 3등급 183명, 4등급 249명까지(3·4등급은 계산식만 쓰고 답 기재)
· 등급 결정 변수: 동점자 '전원 2등급', 대학이 깊게 보는 항목 '과목별 세부능력 및 특기사항(세특)', NEIS 확인 '영상 내용과 다름'
· 목표 점수: 공통국어 70점(나머지 과목은 지움)
· 시험 계획: 공통국어(지문 독해·외우기, 수행평가, 모의고사 지문 공부, 문제집 풀기) + 공통수학(교과서 돌리기, 문제집 풀기) 날짜별 작성</t>
        </is>
      </c>
      <c r="E7" s="5" t="inlineStr">
        <is>
          <t>국어·수학 두 과목 위주로 시험 계획을 세움.</t>
        </is>
      </c>
      <c r="F7" s="5" t="inlineStr">
        <is>
          <t>4번 느낀 점, 국어 외 목표 점수 미기재</t>
        </is>
      </c>
    </row>
    <row r="8" ht="178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POWER UP 강점진로검사(강점·핵심 강점 강화), MIT 전공흥미검사(희망 vs 추천 전공 비교), 선호 직무 유형·직업 가치</t>
        </is>
      </c>
      <c r="D8" s="5" t="inlineStr">
        <is>
          <t>· 강점: ①유머(조지 버나드 쇼 / 1인 미디어 콘텐츠 제작자·코미디언·레크리에이션 강사·예능작가) ②개방성(파블로 피카소 / 글로벌 홍보전문가·다문화 언어교사·융합형 디자이너) ③공감(마더 테레사 / 동물매개 심리치료사·상담전문가·피해자심리전문요원)
· 핵심 강점 '공감' 연관어: 이해, 감정, 테레사, 마음, 상담, 사회, 정신, 심리 / 강화 방안: '노력'
· 희망 전공: 언론·홍보, 영상·공연, 사회·심리 / 추천 전공: 주거·의류, 외국어문학, 간호·보건 → 하나도 겹치지 않음 / 가장 선호 계열: 주거·의류</t>
        </is>
      </c>
      <c r="E8" s="5" t="inlineStr">
        <is>
          <t>희망 전공(언론·홍보·영상)과 추천 전공(주거·의류)이 전혀 겹치지 않으나, 선호 계열로 '주거·의류'를 적어 추천 결과 쪽(패션·미용)에 더 끌리는 것으로 보임.</t>
        </is>
      </c>
      <c r="F8" s="5" t="inlineStr">
        <is>
          <t>일치 여부 서술(X 표시), 선호 직무 유형·직업 가치 미기재 / 학번·이름 공란</t>
        </is>
      </c>
    </row>
    <row r="9" ht="262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4차시 결과를 바탕으로 관심 직업 4개 정보 수집, 토너먼트로 최고 관심 직업 선정, 직업 가치관과 비교, 미래 명함 만들기</t>
        </is>
      </c>
      <c r="D9" s="5" t="inlineStr">
        <is>
          <t>· 4개 직업: 의상 디자이너(옷 디자인 기획, 의상 제작, 패션 스타일 제안 / 창의력, 트렌드 분석, 색감·미적 감각 / 패션디자인과·의류학과·패션산업학과), 외국어 강사(외국어 가르침, 학습 지도 / 전달력, 교육 및 지도, 인내심, 책임감, 문화 이해 / 영어영문학과·중어중문학과·일어일문학과), 상담전문가(직업정보 제공, 진로 설계, 직업 선택, 구직활동 조언 / 공감, 성격·흥미 등 유형 검사 / 교육학과·심리학과·상담학과), 홍보 전문가(광고물 제작, 광고 행사 기획, 상품 판매 전략 / 언어, 의사소통, 설득력 / 광고홍보학과·광고디자인학과·시각디자인학과)
· 준결승: 의상 디자이너('의류 쪽에 관심이 있어서') vs 홍보 전문가('마케터 되어보고 싶음') → 최종 '홍보 전문가' — '지금 제일 마음이 감' / 의상 디자이너 포기 이유: '간절하지 않음(관심이 별로 X)'
· 가치관 비교: '맞음'</t>
        </is>
      </c>
      <c r="E9" s="5" t="inlineStr">
        <is>
          <t>최종으로 홍보 전문가를 골랐으나, 1학기 말에는 미용사로 진로를 크게 바꿈(아래 최종 참고).</t>
        </is>
      </c>
      <c r="F9" s="5" t="inlineStr">
        <is>
          <t>미래 명함 미작성</t>
        </is>
      </c>
    </row>
    <row r="10" ht="206" customHeight="1">
      <c r="A10" s="4" t="inlineStr">
        <is>
          <t>1-7</t>
        </is>
      </c>
      <c r="B10" s="5" t="inlineStr">
        <is>
          <t>희망 학과(전공) 탐색하기</t>
        </is>
      </c>
      <c r="C10" s="5" t="inlineStr">
        <is>
          <t>2인 1조로 같은 학과를 커리어넷·고용24 등에서 탐색해 학과 개요·교육과정·진로 정보 정리</t>
        </is>
      </c>
      <c r="D10" s="5" t="inlineStr">
        <is>
          <t>· 탐색 학과: 미디어커뮤니케이션과 / 관심 대학: 강원대학교
· 학과 개요: '광범위한 커뮤니케이션 현상들을 다룬다. 사회에서 발생하는 커뮤니케이션 현상을 포괄적으로 연구한다'
· 연결 포인트: '미디어 많이 봄 → 트렌드'
· 고교 과목: 정보, 사회와 문화, 현대사회와 윤리, 제2외국어 등 / 대학 교과목: 광고홍보학개론, 방송영상론, 디지털미디어의 이해, 미디어 리터러시 등
· 자격증: 국제광고인자격, 브랜드 관리사, 방송통신산업기사, 멀티미디어콘텐츠제작전문가 / 진출: 광고홍보 및 마케팅 업무, 광고 및 홍보대행사 등
· 노력할 것: '광고의 이론과 실제에 대해 더 공부하기'</t>
        </is>
      </c>
      <c r="E10" s="5" t="inlineStr">
        <is>
          <t>홍보 전문가 진로와 연결된 학과를 탐색함.</t>
        </is>
      </c>
      <c r="F10" s="5" t="inlineStr">
        <is>
          <t>학과 전망 미기재</t>
        </is>
      </c>
    </row>
    <row r="11" ht="94" customHeight="1">
      <c r="A11" s="4" t="inlineStr">
        <is>
          <t>1-8</t>
        </is>
      </c>
      <c r="B11" s="5" t="inlineStr">
        <is>
          <t>나의 대학 진학 설계(대입 전형 유형 분석)</t>
        </is>
      </c>
      <c r="C11" s="5" t="inlineStr">
        <is>
          <t>조별 사전 연습(동국대 수학과 전형 분석), 전형 유형별 나의 경쟁력 별점, 희망 대학 2028 시행계획 보고 수시·정시 전형 1개씩 선택</t>
        </is>
      </c>
      <c r="D11" s="5" t="inlineStr">
        <is>
          <t>· 사전 연습(동국대 수학과) 표 작성: 학생부교과 4명(학생부교과 70%+교과 관련 서류 종합평가 30%), 학생부종합 9명(1단계 서류종합평가 100%, 2단계 면접 40%+1단계 성적 60%), 논술 5명(학생부 30%: 교과 20%+출결 10%, 최저 있음), 정시 9명(수능 80%+학생부평가 20%)</t>
        </is>
      </c>
      <c r="E11" s="5" t="inlineStr">
        <is>
          <t>사전 연습 표를 정확히 작성함.</t>
        </is>
      </c>
      <c r="F11" s="5" t="inlineStr">
        <is>
          <t>반영 교과 표, 2번 step1·step2 미기재 / 학번·이름 공란</t>
        </is>
      </c>
    </row>
    <row r="12" ht="178" customHeight="1">
      <c r="A12" s="4" t="inlineStr">
        <is>
          <t>1학기 최종</t>
        </is>
      </c>
      <c r="B12" s="5" t="inlineStr">
        <is>
          <t>1학기 진로수업 마무리 활동지(진로 점검 &amp; 과목 선택 최종 설계)</t>
        </is>
      </c>
      <c r="C12" s="5" t="inlineStr">
        <is>
          <t>5·7·8차시 돌아보기, 1학기 마무리 기준 최종 진로 목표, 2·3학년 과목 선택 설계, 대입 전형 연계, 2학기 다짐</t>
        </is>
      </c>
      <c r="D12" s="5" t="inlineStr">
        <is>
          <t>· 돌아보기: 5차시 '홍보 전문가' 완전히 바뀜 / 7차시 '미디어커뮤니케이션과' 완전히 바뀜 / 8차시 '동아대학교' 완전히 바뀜 — 이유 '미용에 더 흥미가 가고, 관심이 많음'
· 최종 목표: 미용 / 미용사 / 헤어디자인과 / 서경대학교
· 과목 선택: 국어 — 문학과 영상, 주제탐구 독서 / 수학 — 인공지능 수학 / 영어 — 세계문화와 영어 / 사회 — 현대사회와 윤리 / 과학 — 화학, 생명과학, 화학 반응의 세계 / 기타 — 일본어, 일본어 회화
· 대입: 수시 학생부종합</t>
        </is>
      </c>
      <c r="E12" s="5" t="inlineStr">
        <is>
          <t>1학기 중반까지 홍보·미디어였던 진로를 1학기 말에 '미용사(헤어)'로 완전히 바꿈. 1-4 선호 계열 '주거·의류'와 이어지고, P-1 계획서('AI 시대 헤어 디자이너의 역할', 미용학원 수강 중)와도 일관됨. 화학·생명과학 선택은 미용(모발·화장품)과 연결될 수 있음.</t>
        </is>
      </c>
      <c r="F12" s="5" t="inlineStr">
        <is>
          <t>2학기 집중 과제, 2학기 다짐 미기재</t>
        </is>
      </c>
    </row>
    <row r="13" ht="170" customHeight="1">
      <c r="A13" s="4" t="inlineStr">
        <is>
          <t>2-2</t>
        </is>
      </c>
      <c r="B13" s="5" t="inlineStr">
        <is>
          <t>나도 입학사정관(서울대 합격생 학생부 평가)</t>
        </is>
      </c>
      <c r="C13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3" s="5" t="inlineStr">
        <is>
          <t>· 평가 사례: 2024 사범대학 교육학과(5조)
· 학업역량: B&gt;A&gt;C — 이유: 공부해야 하는 일을 제시해 목표를 설정하는 데 도움이 됨(앞부분 판독 어려움)
· 진로역량: C&gt;A&gt;B — 이유 미기재
· 공동체역량: B&gt;A&gt;C — 이유 미기재
· 조별 예상 순위: A-C-B / 결과 확인: A-B-C → 불일치
· 느낀 점: '새로웠다.'
· 배운 점: '본받아야겠다고 생각함.'</t>
        </is>
      </c>
      <c r="E13" s="5" t="inlineStr">
        <is>
          <t>느낀 점·배운 점이 한 단어 수준으로 짧음. P-2 탐구계획서(미용사) 완성도에 비해 이번 활동 참여도는 낮은 편.</t>
        </is>
      </c>
      <c r="F13" s="5" t="inlineStr">
        <is>
          <t>학업역량 이유 일부 판독 어려움 / 진로·공동체 이유 미기재</t>
        </is>
      </c>
    </row>
    <row r="14" ht="248" customHeight="1">
      <c r="A14" s="4" t="inlineStr">
        <is>
          <t>P-1</t>
        </is>
      </c>
      <c r="B14" s="5" t="inlineStr">
        <is>
          <t>진로 프로젝트 1차시: 3종 트랙 탐색·선택 및 8차시 개인 계획서</t>
        </is>
      </c>
      <c r="C14" s="5" t="inlineStr">
        <is>
          <t>주제탐구·진로독서·습관형성 3개 트랙 비교 후 1개 선택, 선택 트랙별 초기 아이디어 구상, 8차시 세부 계획 및 한 줄 다짐·자가 점검</t>
        </is>
      </c>
      <c r="D14" s="5" t="inlineStr">
        <is>
          <t>[선택 트랙] ① 주제탐구
· 선택 이유: '평소 미용사 직업에 관심이 많아 관련 정보와 업무를 직접 조사하고 발표하고 싶어서'
· 관심 분야: 미용, 헤어, 디자인 / 이유: '어릴 때부터 헤어에 관심이 있었고, 미용학원에 다니며 헤어를 배우고 있다'
· 잠정 주제: '헤어 디자이너의 역할과 사람들에게 미치는 영향'
· 주제 선택 이유: 'AI가 대체하기 힘든, AI 시대에도 오랫동안 가치를 유지할 미용사의 업무와 역할을 조사하고 싶음'
· 계획: 2차시 미용사란 무엇인가(정의) → 3~4차시 미용인의 길(미용사가 되기 위해 거쳐야 할 것) → 5차시 하는 일·업무 → 6차시 발표 제작(PPT) → 7차시 발표 준비
· 다짐: '8차시 동안 열심히 하겠다' / 자가 점검 체크</t>
        </is>
      </c>
      <c r="E14" s="5" t="inlineStr">
        <is>
          <t>미용학원을 다니고 있어 진로 실천이 구체적임. AI 시대의 직업 가치라는 시각을 덧붙임. 11205 김하윤도 헤어 디자이너 진로라 같은 분야 학생이 2명.</t>
        </is>
      </c>
      <c r="F14" s="5" t="n"/>
    </row>
    <row r="15" ht="190" customHeight="1">
      <c r="A15" s="4" t="inlineStr">
        <is>
          <t>P-2</t>
        </is>
      </c>
      <c r="B15" s="5" t="inlineStr">
        <is>
          <t>진로 프로젝트 2차시(주제탐구): 탐구 방법 안내 &amp; 탐구계획서</t>
        </is>
      </c>
      <c r="C15" s="5" t="inlineStr">
        <is>
          <t>통계·기사·논문·기관 사이트 등 자료원 안내, 핵심 탐구 질문과 하위 질문 3개 작성, 활용할 자료원 정리</t>
        </is>
      </c>
      <c r="D15" s="5" t="inlineStr">
        <is>
          <t>[주제탐구] 짝 없음
· 핵심 질문: '미용사는 개인의 삶과 우리 사회에 어떤 영향과 변화를 만들어내는가?'
· 하위 ①: 미용사의 스타일링은 고객의 이미지 변신, 자존감, 기분 변화에 어떤 영향을 줄까?
· 하위 ②: 미용사는 새로운 유행을 만들고 사람들의 대인관계나 문화에 어떤 변화를 가져올까?
· 하위 ③: 뷰티 산업 속에서 미용사는 지역 경제와 일자리 창출에 어떤 영향을 미치는가?
· 자료원: 커리어넷, 직업백과, 보그 코리아, 학술연구정보서비스(RISS)</t>
        </is>
      </c>
      <c r="E15" s="5" t="inlineStr">
        <is>
          <t>1차시 주제('AI 시대 헤어 디자이너의 역할')에서 AI 관점은 빠지고 미용사의 개인·사회적 영향으로 넓어짐. 하위 질문이 개인→문화→경제로 체계적으로 짜여 있음.</t>
        </is>
      </c>
      <c r="F15" s="5" t="n"/>
    </row>
    <row r="16" ht="330" customHeight="1">
      <c r="A16" s="4" t="inlineStr">
        <is>
          <t>P-3</t>
        </is>
      </c>
      <c r="B16" s="5" t="inlineStr">
        <is>
          <t>진로 프로젝트 3차시(주제탐구): 자료 수집</t>
        </is>
      </c>
      <c r="C16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6" s="5" t="inlineStr">
        <is>
          <t>[주제탐구] 자료 4개 + 메모
· ① 한국고용정보원: 미용사는 외모 변화를 통해 개인의 자존감과 자신감을 높이는 역할을 하며, 안정적인 고용 창출과 서비스 경제 성장에 기여하는 필수 직업군
· ② 한국학술지인용색인 「피부미용사의 헤어스타일과 유니폼 양식이 이미지 평가와 선호도에 미치는 영향」: 미용사의 깔끔한 헤어스타일과 단정한 유니폼은 고객에게 높은 전문성과 청결한 신뢰감을 주어 숍에 대한 긍정적인 이미지 평가를 이끌어 냄
· ③ VOGUE Korea 「새해 새로운 변신을 위한 2026 헤어 커트 6」: 2026년에는 개인의 개성과 자연스러운 텍스처를 살릴 수 있는 다채로운 기장과 질감의 커트 스타일이 주목받음
· ④ AI 포스트 「변호사는 바뀌어도, 내 미용사는 안 돼… 대중이 꼽은 'AI가 죽어도 못 뺏는 일자리 15선'」: 미용사는 기계가 흉내 낼 수 없는 신체적 접촉과 따뜻한 온기, 정서적 교감을 나누는 영역으로 AI가 절대 대체할 수 없는 인간 중심 직업으로 꼽힘
· 메모: '미용사의 영향력이 대단하다고 생각함.'</t>
        </is>
      </c>
      <c r="E16" s="5" t="inlineStr">
        <is>
          <t>2차시 탐구 질문(미용사가 개인의 삶과 사회에 미치는 영향)에 맞춰 개인(자존감)·사회(고용)·트렌드·AI 대체 가능성까지 다양한 성격의 자료를 모음. 1차시 'AI 시대 헤어 디자이너의 역할' 관심과도 이어짐.</t>
        </is>
      </c>
      <c r="F16" s="5" t="inlineStr">
        <is>
          <t>자료 ⑤ 미기재 / 메모가 한 줄로 짧음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4" customWidth="1" min="3" max="3"/>
    <col width="55" customWidth="1" min="4" max="4"/>
    <col width="26" customWidth="1" min="5" max="5"/>
    <col width="30" customWidth="1" min="6" max="6"/>
  </cols>
  <sheetData>
    <row r="1" ht="22" customHeight="1">
      <c r="A1" s="1" t="inlineStr">
        <is>
          <t>2026학년도 1학년 12반 진로수업 차시별 활동 정리 (학번 11223 홍의찬)</t>
        </is>
      </c>
    </row>
    <row r="2">
      <c r="A2" s="2" t="inlineStr">
        <is>
          <t>※ 활동지 스캔본(PDF)을 바탕으로 정리. 필체 판독이 어렵거나 학생이 미기재한 항목은 '판독 어려움/미기재'로 표기함. 1학기 스캔본에는 1-3, 1-6차시 활동지가 포함되어 있지 않음(스캔 순서가 역순으로 되어 있음). 흘려 쓴 곳이 많아 일부 내용은 판독이 어려움.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학습목표/개요</t>
        </is>
      </c>
      <c r="D4" s="3" t="inlineStr">
        <is>
          <t>학생 응답 요약</t>
        </is>
      </c>
      <c r="E4" s="3" t="inlineStr">
        <is>
          <t>특이사항</t>
        </is>
      </c>
      <c r="F4" s="3" t="inlineStr">
        <is>
          <t>비고(미기재/확인필요)</t>
        </is>
      </c>
    </row>
    <row r="5" ht="262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퀴즈로 자기소개, 진로활동 4영역 안내, 진로활동 질문지, 진로수업 약속·다짐 작성</t>
        </is>
      </c>
      <c r="D5" s="5" t="inlineStr">
        <is>
          <t>· 자기소개 문제: 형이 있다, 중학교 때 ○○했다, 인코과(?)다 / 게임에 미쳤다(?), 동물을 좋아한다(?), 아라비아 숫자(?)(일부 판독 어려움)
· 질문지: 진로 자신감 '그렇지 않다' / 꿈을 위한 노력·가족과 대화 '매우 그렇지 않다' / 필요한 공부 알고 노력 '그렇지 않다' / 상담 경험 '보통' / 상담 상대: 선배나 친구
· 진로 결정 시 중요: 나의 소질과 적성, 학업 성적 / 정보 탐색: 인터넷 / 노력: 흥미와 적성을 찾기 위한 비교과 활동 참여
· 어려운 점: 기타 '아직 뭘 하고 싶은지 모르고 되는 법도 모른다'
· 진로수업에 바라는 것: '진로 활동에 재밌게 하고 ○○ 알고 ○○해서 ○○'(판독 어려움)
· 약속: ★적극 — '적극적으로 하는 게 중요한 것 같다' / 깨달은 점: '앞으로의 활동이나 어떤 활동이 있는지 알게 되었다' / 다섯 글자 다짐: '대학 가자'</t>
        </is>
      </c>
      <c r="E5" s="5" t="inlineStr">
        <is>
          <t>학기 초 진로 탐색 문항 대부분이 부정적이고 '아직 뭘 하고 싶은지 모른다'고 적음. 가족과의 진로 대화는 '매우 그렇지 않다'.</t>
        </is>
      </c>
      <c r="F5" s="5" t="inlineStr">
        <is>
          <t>진진가 퀴즈 정답·인사 미기재 / 자기소개 일부 판독 어려움</t>
        </is>
      </c>
    </row>
    <row r="6" ht="150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학교생활기록부 항목 이해, 수시·정시 구조, 5등급제·고교학점제, 세특·창체, 2028 수능 변화 영상 보며 빈칸 채우기</t>
        </is>
      </c>
      <c r="D6" s="5" t="inlineStr">
        <is>
          <t>· 수시: 교과·학생부종합, 수능 최저 / 정시: 수능 / 내신 5등급제, 1등급 상위 10%, 지필+수행, 수행평가 비중 높음
· 졸업 192학점, 2학년부터 진로에 맞게, 1학년 여름방학 전 진로 정하기
· 학종 정성평가 대상: 과정 / 세특 = 세부능력 및 특기사항, 태도: '적극적 참여, 발표'
· 창체: 자율·자치, 진로(동아리 칸) / 행동특성 및 종합의견 / 2028 수능: 공통, 통합사회·통합과학</t>
        </is>
      </c>
      <c r="E6" s="5" t="inlineStr">
        <is>
          <t>대부분 채움.</t>
        </is>
      </c>
      <c r="F6" s="5" t="inlineStr">
        <is>
          <t>6번 마지막, 7번, 8번 다짐 미기재</t>
        </is>
      </c>
    </row>
    <row r="7" ht="262" customHeight="1">
      <c r="A7" s="4" t="inlineStr">
        <is>
          <t>1-4</t>
        </is>
      </c>
      <c r="B7" s="5" t="inlineStr">
        <is>
          <t>자기 이해 검사 종합하기</t>
        </is>
      </c>
      <c r="C7" s="5" t="inlineStr">
        <is>
          <t>POWER UP 강점진로검사(강점·핵심 강점 강화), MIT 전공흥미검사(희망 vs 추천 전공 비교), 선호 직무 유형·직업 가치</t>
        </is>
      </c>
      <c r="D7" s="5" t="inlineStr">
        <is>
          <t>· 강점: ①공감(마더 테레사 / 상담전문가·동물매개 심리치료사 등) ②끈기(세종대왕 / 운동선수·연주가·반려동물 행동교정 전문가 등) ③호기심(아인슈타인 / 로봇공학자·과학자·기자·시장 등) — 순위를 고쳐 씀
· 핵심 강점 '공감' 연관어: 궁금, 이해, 배려, 대화, 조언, 상담, 고민, 감정 / 강화 방안: '다른 사람들의 경험이 담긴 책을 보며 등장인물의 감정 이해하고 고민 들어주기, 위로 해주기'(일부 판독 어려움)
· 희망 전공: 경영·경제, 무용·체육, 사회·심리 / 추천 전공: 경영·경제, 음악, 무용·체육 / 가장 선호 계열: 경영학과
· 일치 여부: '음악과 사회·심리가 일치하지 않는다. 하나는 좋아하지 않고 하나는 추천이지 다른 것 같다'(일부 판독 어려움)
· 선호 직무 유형: 경영·경제 / 직업 가치 칸에 '회사원, 회계사, 기업고위임원'(직업명)을 적음</t>
        </is>
      </c>
      <c r="E7" s="5" t="inlineStr">
        <is>
          <t>희망 1순위와 추천 1순위(경영·경제)가 일치함. 직업 가치 칸에 직업명을 적어 문항 취지를 잘못 이해한 것으로 보임.</t>
        </is>
      </c>
      <c r="F7" s="5" t="n"/>
    </row>
    <row r="8" ht="290" customHeight="1">
      <c r="A8" s="4" t="inlineStr">
        <is>
          <t>1-5</t>
        </is>
      </c>
      <c r="B8" s="5" t="inlineStr">
        <is>
          <t>최고 관심 직업 선정하기</t>
        </is>
      </c>
      <c r="C8" s="5" t="inlineStr">
        <is>
          <t>4차시 결과를 바탕으로 관심 직업 4개 정보 수집, 토너먼트로 최고 관심 직업 선정, 직업 가치관과 비교, 미래 명함 만들기</t>
        </is>
      </c>
      <c r="D8" s="5" t="inlineStr">
        <is>
          <t>· 4개 직업: 회계사(회계 감사, 세무 서비스, 기업 회계 및 재무 / 수리적 감각과 분석력, 윤리 의식과 책임감, 법률 및 규정 이해력 / 경영학과·회계학과), 스포츠 트레이너(○○ 트레이너, 퍼스널 트레이너, 재활 운동 코치, 체력 트레이너 / 해부학 및 생리학 지식, 관찰력과 분석력, 공감 능력과 코칭 스킬 / 체육학과·사회체육학과), 공무원(일반 행정, 교육행정, 사회복지직 / 공익 중심의 사고, 행정 절차 및 법률 지식, 문서 작성 및 기획력 / 행정학과·사회복지학과), 회사원(기획/인사, 마케팅, 영업, 재무 회계 / 직무 기술, 소통 능력, 문제 해결 / 경영학과·인문/사회계열)
· 준결승: 회계사('안정적이다, 돈이 잘 모인다, 인정 받는다') vs 회사원('안정적이다, 돈이 된다') → 최종 '회계사' — '회계사는 사회적 인정과 높은 연봉' / 회사원 포기 이유: '40~50대 이후 해고 위험이 크다'
· 가치관 비교: '수리 감각과 분석력, 책임감, 성과 지향형 성향 등 공통적 경영 가치관이 매우 잘 맞습니다'(일부 판독 어려움)</t>
        </is>
      </c>
      <c r="E8" s="5" t="inlineStr">
        <is>
          <t>4개 직업 정보를 빽빽하게 채움. '안정성·연봉·해고 위험'을 기준으로 회계사를 골라, 학기 초 '뭘 하고 싶은지 모른다'에서 방향이 잡혀 가는 모습이 보임.</t>
        </is>
      </c>
      <c r="F8" s="5" t="inlineStr">
        <is>
          <t>미래 명함 미작성</t>
        </is>
      </c>
    </row>
    <row r="9" ht="220" customHeight="1">
      <c r="A9" s="4" t="inlineStr">
        <is>
          <t>1-7</t>
        </is>
      </c>
      <c r="B9" s="5" t="inlineStr">
        <is>
          <t>희망 학과(전공) 탐색하기</t>
        </is>
      </c>
      <c r="C9" s="5" t="inlineStr">
        <is>
          <t>2인 1조로 같은 학과를 커리어넷·고용24 등에서 탐색해 학과 개요·교육과정·진로 정보 정리</t>
        </is>
      </c>
      <c r="D9" s="5" t="inlineStr">
        <is>
          <t>· 탐색 학과: 경제학과 / 관심 대학: 한양대 ERICA
· 학과 개요: '경제학은 자원의 효율적 배분과 활용을 연구하는 학문이며, 경제학은 어떻게 자원을 효과적으로 사용할지 분석한다'(일부 판독 어려움)
· 연결 포인트: '논리적인 의사결정을 좋아하고 자료를 해석해 합리적인 결론을 도출하는 능력'(일부 판독 어려움)
· 고교 과목: 수학, 사회, 영어 / 대학 교과목: 경제수학, 경제원론, 거시경제학, 경제 분석론(?), 산업경제의 이해(?)
· 자격증: 공인회계사, 관세사, 변리사(?) / 진출: 기업, 공기업(?), 은행, 증권사
· 노력할 것: '수학과 사회 열심히 하고 분석력 키우기'</t>
        </is>
      </c>
      <c r="E9" s="5" t="inlineStr">
        <is>
          <t>회계사 진로와 맞는 경제학과를 탐색함.</t>
        </is>
      </c>
      <c r="F9" s="5" t="inlineStr">
        <is>
          <t>학과 전망 미기재 / 일부 판독 어려움</t>
        </is>
      </c>
    </row>
    <row r="10" ht="122" customHeight="1">
      <c r="A10" s="4" t="inlineStr">
        <is>
          <t>1-8</t>
        </is>
      </c>
      <c r="B10" s="5" t="inlineStr">
        <is>
          <t>나의 대학 진학 설계(대입 전형 유형 분석)</t>
        </is>
      </c>
      <c r="C10" s="5" t="inlineStr">
        <is>
          <t>조별 사전 연습(동국대 수학과 전형 분석), 전형 유형별 나의 경쟁력 별점, 희망 대학 2028 시행계획 보고 수시·정시 전형 1개씩 선택</t>
        </is>
      </c>
      <c r="D10" s="5" t="inlineStr">
        <is>
          <t>· 사전 연습(동국대 수학과) 표 작성: 모집 인원 칸에 470·656·283·1166을 적음 / 학생부교과(성취등급별 환산점수), 학생부종합(1단계 서류종합평가 100%, 2단계 면접 30%+1단계 ○%), 정시(수능 100%)
· 반영 교과: 학생부교과 국·수·영·사·과, 공통과목 제외, 상위 10과목(이수 학점 X), 3학년 1학기까지 반영(일부 판독 어려움)</t>
        </is>
      </c>
      <c r="E10" s="5" t="inlineStr">
        <is>
          <t>11221 타이압과 같은 숫자를 적어 함께 작성한 것으로 보임. 모집 인원과 전형 비율 일부가 자료와 다름.</t>
        </is>
      </c>
      <c r="F10" s="5" t="inlineStr">
        <is>
          <t>논술 전형 방법, 2번 step1·step2 미기재</t>
        </is>
      </c>
    </row>
    <row r="11" ht="178" customHeight="1">
      <c r="A11" s="4" t="inlineStr">
        <is>
          <t>1학기 최종</t>
        </is>
      </c>
      <c r="B11" s="5" t="inlineStr">
        <is>
          <t>1학기 진로수업 마무리 활동지(진로 점검 &amp; 과목 선택 최종 설계)</t>
        </is>
      </c>
      <c r="C11" s="5" t="inlineStr">
        <is>
          <t>5·7·8차시 돌아보기, 1학기 마무리 기준 최종 진로 목표, 2·3학년 과목 선택 설계, 대입 전형 연계, 2학기 다짐</t>
        </is>
      </c>
      <c r="D11" s="5" t="inlineStr">
        <is>
          <t>· 돌아보기: 5차시 '회계사' 그대로 유지 / 7차시 '경영학과' 부분 수정 / 8차시 '사회·상경 계열' — 이유 '안정적이어서'
· 최종 목표: 사회계열 / 회계사 / 경영학과 / 가천대(처음 적은 대학을 지우고 고쳐 씀)
· 과목 선택: 국어 — 주제탐구 독서, 문학, 화법과 작문(?) / 수학 — 확률과 통계 / 영어 — 영어Ⅰ·Ⅱ, 영어 독해와 작문 / 사회 — 사회와 문화, 생활과 윤리(?), 세계사, 한국지리(?)
· 대입: 수시 학생부종합, 정시 수능 / 2학기 집중 과제: '더 국영수 공부' / 2학기 다짐: '더 열심히 공부해서 성적을 올리겠다'</t>
        </is>
      </c>
      <c r="E11" s="5" t="inlineStr">
        <is>
          <t>학기 초 '뭘 하고 싶은지 모른다'에서 1학기 말 회계사·경영학과·가천대까지 구체화됨. P-1 계획서 상단 메모(가천대·건국대·경기대)와도 일치하며, 타이압과 경영 쪽으로 공동 탐구 중.</t>
        </is>
      </c>
      <c r="F11" s="5" t="inlineStr">
        <is>
          <t>과학·기타 과목 미기재 / 과목명 일부 판독 어려움</t>
        </is>
      </c>
    </row>
    <row r="12" ht="186" customHeight="1">
      <c r="A12" s="4" t="inlineStr">
        <is>
          <t>2-2</t>
        </is>
      </c>
      <c r="B12" s="5" t="inlineStr">
        <is>
          <t>나도 입학사정관(서울대 합격생 학생부 평가)</t>
        </is>
      </c>
      <c r="C12" s="5" t="inlineStr">
        <is>
          <t>서울대 아로리 '나도 입학사정관' 6개 사례 중 조별로 1개를 골라, 학업역량·진로역량·공동체역량 기준으로 A·B·C 학생의 학생부를 각자 평가해 순위 매기기 → 조별 토의로 예상 순위 정하기 → 실제 결과 확인 → 느낀 점·배운 점 작성</t>
        </is>
      </c>
      <c r="D12" s="5" t="inlineStr">
        <is>
          <t>· 평가 사례: 2025 농업생명과학대학 스마트시스템과학과(2조)
· 학업역량: A&gt;C&gt;B — 이유: 수학과 과학 성적이 높아서 유리했다(일부 판독 어려움)
· 진로역량: B&gt;C&gt;A — 이유: 진로와 관련된 활동을 생각하고 함(일부 판독 어려움)
· 공동체역량: C&gt;B&gt;A — 이유: '진로와 관련된 리더십 같은 능력이 중요하다고 느껴서'
· 조별 예상 순위: C-B-A / 결과 확인: A-C-B(고쳐 씀) → 불일치
· 느낀 점: '생각보다 어렵다.'
· 배운 점: 성적도 어쨌든 다 중요하다(일부 판독 어려움)</t>
        </is>
      </c>
      <c r="E12" s="5" t="inlineStr">
        <is>
          <t>3개 역량 이유를 모두 적었으나 짧음. 같은 2조(백주호·손지훈)와 결과 확인 순위가 달라 조별 정리 과정 확인이 필요함.</t>
        </is>
      </c>
      <c r="F12" s="5" t="inlineStr">
        <is>
          <t>이유·배운 점 일부 판독 어려움 / 결과 확인 순위 고쳐 씀</t>
        </is>
      </c>
    </row>
    <row r="13" ht="136" customHeight="1">
      <c r="A13" s="4" t="inlineStr">
        <is>
          <t>P-1</t>
        </is>
      </c>
      <c r="B13" s="5" t="inlineStr">
        <is>
          <t>진로 프로젝트 1차시: 3종 트랙 탐색·선택 및 8차시 개인 계획서</t>
        </is>
      </c>
      <c r="C13" s="5" t="inlineStr">
        <is>
          <t>주제탐구·진로독서·습관형성 3개 트랙 비교 후 1개 선택, 선택 트랙별 초기 아이디어 구상, 8차시 세부 계획 및 한 줄 다짐·자가 점검</t>
        </is>
      </c>
      <c r="D13" s="5" t="inlineStr">
        <is>
          <t>[선택 트랙] (트랙 미체크 — 주제탐구 작성란 작성)
· 이름 옆에 'with 타이압'이라고 적힌 공동 작성 활동지. 상단에 '가천대 건국대 경기대' 메모가 있음
· 선택 이유: '진로가 경영학이라 … 탐구하여 발표하고 싶어서 선택함'(가운데 판독 어려움)
· 관심 분야: 경영
· 생각한 이유: 판독 어려움(원본 확인 필요)</t>
        </is>
      </c>
      <c r="E13" s="5" t="inlineStr">
        <is>
          <t>경영학 진로로 타이압과 공동 작업. 상단에 적힌 목표 대학 후보(가천대·건국대·경기대)는 상담할 때 참고할 수 있음.</t>
        </is>
      </c>
      <c r="F13" s="5" t="inlineStr">
        <is>
          <t>최종 트랙 체크 누락 / 선택 이유·생각한 이유 일부 판독 어려움 / 잠정 주제·8차시 계획·다짐 미기재</t>
        </is>
      </c>
    </row>
    <row r="14" ht="150" customHeight="1">
      <c r="A14" s="4" t="inlineStr">
        <is>
          <t>P-2</t>
        </is>
      </c>
      <c r="B14" s="5" t="inlineStr">
        <is>
          <t>진로 프로젝트 2차시(주제탐구): 탐구 방법 안내 &amp; 탐구계획서</t>
        </is>
      </c>
      <c r="C14" s="5" t="inlineStr">
        <is>
          <t>통계·기사·논문·기관 사이트 등 자료원 안내, 핵심 탐구 질문과 하위 질문 3개 작성, 활용할 자료원 정리</t>
        </is>
      </c>
      <c r="D14" s="5" t="inlineStr">
        <is>
          <t>[주제탐구] 11221 타이압과 공동
· 핵심 질문: '가격 전략이 소비자 구매 행동에 미치는 영향 탐구'
· 하위 질문 ①~③, 활용할 자료원: 미기재</t>
        </is>
      </c>
      <c r="E14" s="5" t="inlineStr">
        <is>
          <t>1차시에 트랙 체크가 빠져 있었는데 2차시 주제탐구 활동지를 썼으므로 주제탐구로 확정된 것으로 보임. 타이압과 같은 내용이며 하위 질문이 비어 있음.</t>
        </is>
      </c>
      <c r="F14" s="5" t="inlineStr">
        <is>
          <t>학번을 학번란 밖에 적음 / 하위 질문 ①~③, 활용할 자료원 미기재</t>
        </is>
      </c>
    </row>
    <row r="15" ht="182" customHeight="1">
      <c r="A15" s="4" t="inlineStr">
        <is>
          <t>P-3</t>
        </is>
      </c>
      <c r="B15" s="5" t="inlineStr">
        <is>
          <t>진로 프로젝트 3차시(주제탐구): 자료 수집</t>
        </is>
      </c>
      <c r="C15" s="5" t="inlineStr">
        <is>
          <t>탐구 질문에 필요한 자료를 기사·논문·도서 등에서 5~10개 조사, 자료 출처를 명확히 기록하고 핵심 내용을 나의 언어로 요약, 나의 생각/메모 작성</t>
        </is>
      </c>
      <c r="D15" s="5" t="inlineStr">
        <is>
          <t>[주제탐구] 자료 2개(블로그 자료)
· ① 티스토리 기사(https://engineer125.tistory.com) — 경쟁 기반 가격: 경쟁 업체의 가격을 기준으로 가격을 정하는 전략
· ② 브런치 기사(https://brunch.co.kr) — 맞춤 가격 전략: 고객별·니즈별·나라별로 다양한 구매 의향과 수요에 맞춰 가격을 전략적으로 바꾸며 책정하는 방법</t>
        </is>
      </c>
      <c r="E15" s="5" t="inlineStr">
        <is>
          <t>짝 타이압과 같은 주제로 가격 전략 개념을 정리함. 다만 두 자료 모두 개인 블로그라 신뢰도가 낮고 주소도 메인 주소만 적어 출처가 불명확함. 짝이 찾은 학술 논문처럼 공신력 있는 자료로 보완하도록 안내 필요.</t>
        </is>
      </c>
      <c r="F15" s="5" t="inlineStr">
        <is>
          <t>자료 ③~⑤, 나의 생각/메모 미기재 / 블로그 세부 주소 미기재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W34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30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8" customWidth="1" min="21" max="21"/>
    <col width="8" customWidth="1" min="22" max="22"/>
    <col width="70" customWidth="1" min="23" max="23"/>
  </cols>
  <sheetData>
    <row r="1">
      <c r="A1" s="1" t="inlineStr">
        <is>
          <t>2026학년도 1학년 12반 진로 프로젝트 진행 확인표</t>
        </is>
      </c>
    </row>
    <row r="2" ht="42" customHeight="1">
      <c r="A2" s="10" t="inlineStr">
        <is>
          <t>※ 제출: ○ 제출 / × 미제출(빈칸 제출도 ○로 표시하고 기록정도 '하')   ※ 기록정도 — 상: 모든 항목을 구체적으로 작성(주제탐구는 자료 3개 이상+요약) / 중: 핵심 항목은 작성했으나 일부 빈칸·자료 부족 / 하: 대부분 빈칸이거나 출처·한 줄만 작성   ※ P-4 이후 칸은 드롭다운으로 직접 입력하면 색이 자동으로 칠해짐</t>
        </is>
      </c>
    </row>
    <row r="4">
      <c r="A4" s="11" t="inlineStr">
        <is>
          <t>학번</t>
        </is>
      </c>
      <c r="B4" s="11" t="inlineStr">
        <is>
          <t>이름</t>
        </is>
      </c>
      <c r="C4" s="11" t="inlineStr">
        <is>
          <t>트랙</t>
        </is>
      </c>
      <c r="D4" s="11" t="inlineStr">
        <is>
          <t>주제 / 도서 / 습관</t>
        </is>
      </c>
      <c r="E4" s="11" t="inlineStr">
        <is>
          <t>P-1</t>
        </is>
      </c>
      <c r="F4" s="11" t="n"/>
      <c r="G4" s="11" t="inlineStr">
        <is>
          <t>P-2</t>
        </is>
      </c>
      <c r="H4" s="11" t="n"/>
      <c r="I4" s="11" t="inlineStr">
        <is>
          <t>P-3</t>
        </is>
      </c>
      <c r="J4" s="11" t="n"/>
      <c r="K4" s="11" t="inlineStr">
        <is>
          <t>P-4</t>
        </is>
      </c>
      <c r="L4" s="11" t="n"/>
      <c r="M4" s="11" t="inlineStr">
        <is>
          <t>P-5</t>
        </is>
      </c>
      <c r="N4" s="11" t="n"/>
      <c r="O4" s="11" t="inlineStr">
        <is>
          <t>P-6</t>
        </is>
      </c>
      <c r="P4" s="11" t="n"/>
      <c r="Q4" s="11" t="inlineStr">
        <is>
          <t>P-7</t>
        </is>
      </c>
      <c r="R4" s="11" t="n"/>
      <c r="S4" s="11" t="inlineStr">
        <is>
          <t>P-8</t>
        </is>
      </c>
      <c r="T4" s="11" t="n"/>
      <c r="U4" s="11" t="inlineStr">
        <is>
          <t>제출
차시 수</t>
        </is>
      </c>
      <c r="V4" s="11" t="inlineStr">
        <is>
          <t>'상'
차시 수</t>
        </is>
      </c>
      <c r="W4" s="11" t="inlineStr">
        <is>
          <t>간단기록(차시별 흐름 · 지도 포인트)</t>
        </is>
      </c>
    </row>
    <row r="5">
      <c r="A5" s="11" t="n"/>
      <c r="B5" s="11" t="n"/>
      <c r="C5" s="11" t="n"/>
      <c r="D5" s="11" t="n"/>
      <c r="E5" s="11" t="inlineStr">
        <is>
          <t>제출</t>
        </is>
      </c>
      <c r="F5" s="11" t="inlineStr">
        <is>
          <t>기록</t>
        </is>
      </c>
      <c r="G5" s="11" t="inlineStr">
        <is>
          <t>제출</t>
        </is>
      </c>
      <c r="H5" s="11" t="inlineStr">
        <is>
          <t>기록</t>
        </is>
      </c>
      <c r="I5" s="11" t="inlineStr">
        <is>
          <t>제출</t>
        </is>
      </c>
      <c r="J5" s="11" t="inlineStr">
        <is>
          <t>기록</t>
        </is>
      </c>
      <c r="K5" s="11" t="inlineStr">
        <is>
          <t>제출</t>
        </is>
      </c>
      <c r="L5" s="11" t="inlineStr">
        <is>
          <t>기록</t>
        </is>
      </c>
      <c r="M5" s="11" t="inlineStr">
        <is>
          <t>제출</t>
        </is>
      </c>
      <c r="N5" s="11" t="inlineStr">
        <is>
          <t>기록</t>
        </is>
      </c>
      <c r="O5" s="11" t="inlineStr">
        <is>
          <t>제출</t>
        </is>
      </c>
      <c r="P5" s="11" t="inlineStr">
        <is>
          <t>기록</t>
        </is>
      </c>
      <c r="Q5" s="11" t="inlineStr">
        <is>
          <t>제출</t>
        </is>
      </c>
      <c r="R5" s="11" t="inlineStr">
        <is>
          <t>기록</t>
        </is>
      </c>
      <c r="S5" s="11" t="inlineStr">
        <is>
          <t>제출</t>
        </is>
      </c>
      <c r="T5" s="11" t="inlineStr">
        <is>
          <t>기록</t>
        </is>
      </c>
      <c r="U5" s="11" t="n"/>
      <c r="V5" s="11" t="n"/>
      <c r="W5" s="11" t="n"/>
    </row>
    <row r="6" ht="36" customHeight="1">
      <c r="A6" s="4" t="n">
        <v>11201</v>
      </c>
      <c r="B6" s="4" t="inlineStr">
        <is>
          <t>김담희</t>
        </is>
      </c>
      <c r="C6" s="4" t="inlineStr">
        <is>
          <t>주제탐구</t>
        </is>
      </c>
      <c r="D6" s="5" t="inlineStr">
        <is>
          <t>유치원 교사의 역할과 유아 발달</t>
        </is>
      </c>
      <c r="E6" s="4" t="inlineStr">
        <is>
          <t>○</t>
        </is>
      </c>
      <c r="F6" s="4" t="inlineStr">
        <is>
          <t>하</t>
        </is>
      </c>
      <c r="G6" s="4" t="inlineStr">
        <is>
          <t>○</t>
        </is>
      </c>
      <c r="H6" s="4" t="inlineStr">
        <is>
          <t>중</t>
        </is>
      </c>
      <c r="I6" s="4" t="inlineStr">
        <is>
          <t>○</t>
        </is>
      </c>
      <c r="J6" s="4" t="inlineStr">
        <is>
          <t>상</t>
        </is>
      </c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>
        <f>COUNTIF(E6:T6,"○")</f>
        <v/>
      </c>
      <c r="V6" s="4">
        <f>COUNTIF(E6:T6,"상")</f>
        <v/>
      </c>
      <c r="W6" s="5" t="inlineStr">
        <is>
          <t>P-1 주제 미정·계획 미작성 → P-2 핵심·하위 질문 작성(자료원 1개) → P-3 자료 4개 충실히 요약</t>
        </is>
      </c>
    </row>
    <row r="7" ht="36" customHeight="1">
      <c r="A7" s="4" t="n">
        <v>11202</v>
      </c>
      <c r="B7" s="4" t="inlineStr">
        <is>
          <t>김도아</t>
        </is>
      </c>
      <c r="C7" s="4" t="inlineStr">
        <is>
          <t>주제탐구</t>
        </is>
      </c>
      <c r="D7" s="5" t="inlineStr">
        <is>
          <t>방사선 치료 효과·부작용과 화학적 조절제</t>
        </is>
      </c>
      <c r="E7" s="4" t="inlineStr">
        <is>
          <t>○</t>
        </is>
      </c>
      <c r="F7" s="4" t="inlineStr">
        <is>
          <t>하</t>
        </is>
      </c>
      <c r="G7" s="4" t="inlineStr">
        <is>
          <t>○</t>
        </is>
      </c>
      <c r="H7" s="4" t="inlineStr">
        <is>
          <t>상</t>
        </is>
      </c>
      <c r="I7" s="4" t="inlineStr">
        <is>
          <t>○</t>
        </is>
      </c>
      <c r="J7" s="4" t="inlineStr">
        <is>
          <t>하</t>
        </is>
      </c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>
        <f>COUNTIF(E7:T7,"○")</f>
        <v/>
      </c>
      <c r="V7" s="4">
        <f>COUNTIF(E7:T7,"상")</f>
        <v/>
      </c>
      <c r="W7" s="5" t="inlineStr">
        <is>
          <t>P-1 관심 분야만 → P-2 매우 구체적 탐구계획 → P-3 출처 4개만 적고 요약 없음</t>
        </is>
      </c>
    </row>
    <row r="8" ht="36" customHeight="1">
      <c r="A8" s="4" t="n">
        <v>11203</v>
      </c>
      <c r="B8" s="4" t="inlineStr">
        <is>
          <t>김서훈</t>
        </is>
      </c>
      <c r="C8" s="4" t="inlineStr">
        <is>
          <t>주제탐구</t>
        </is>
      </c>
      <c r="D8" s="5" t="inlineStr">
        <is>
          <t>한국·핀란드·싱가포르 교육 비교</t>
        </is>
      </c>
      <c r="E8" s="4" t="inlineStr">
        <is>
          <t>○</t>
        </is>
      </c>
      <c r="F8" s="4" t="inlineStr">
        <is>
          <t>상</t>
        </is>
      </c>
      <c r="G8" s="4" t="inlineStr">
        <is>
          <t>○</t>
        </is>
      </c>
      <c r="H8" s="4" t="inlineStr">
        <is>
          <t>상</t>
        </is>
      </c>
      <c r="I8" s="4" t="inlineStr">
        <is>
          <t>○</t>
        </is>
      </c>
      <c r="J8" s="4" t="inlineStr">
        <is>
          <t>상</t>
        </is>
      </c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>
        <f>COUNTIF(E8:T8,"○")</f>
        <v/>
      </c>
      <c r="V8" s="4">
        <f>COUNTIF(E8:T8,"상")</f>
        <v/>
      </c>
      <c r="W8" s="5" t="inlineStr">
        <is>
          <t>P-1 수학과 일상 → P-2 교육 비교로 주제 변경 → P-3 OECD·NCIC 자료 4개+다음 탐구 메모</t>
        </is>
      </c>
    </row>
    <row r="9" ht="36" customHeight="1">
      <c r="A9" s="4" t="n">
        <v>11204</v>
      </c>
      <c r="B9" s="4" t="inlineStr">
        <is>
          <t>김지훈</t>
        </is>
      </c>
      <c r="C9" s="4" t="inlineStr">
        <is>
          <t>주제탐구</t>
        </is>
      </c>
      <c r="D9" s="5" t="inlineStr">
        <is>
          <t>스포츠과학부 대학 비교(박상욱과 공동)</t>
        </is>
      </c>
      <c r="E9" s="4" t="inlineStr">
        <is>
          <t>○</t>
        </is>
      </c>
      <c r="F9" s="4" t="inlineStr">
        <is>
          <t>하</t>
        </is>
      </c>
      <c r="G9" s="4" t="inlineStr">
        <is>
          <t>○</t>
        </is>
      </c>
      <c r="H9" s="4" t="inlineStr">
        <is>
          <t>하</t>
        </is>
      </c>
      <c r="I9" s="4" t="inlineStr">
        <is>
          <t>○</t>
        </is>
      </c>
      <c r="J9" s="4" t="inlineStr">
        <is>
          <t>하</t>
        </is>
      </c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>
        <f>COUNTIF(E9:T9,"○")</f>
        <v/>
      </c>
      <c r="V9" s="4">
        <f>COUNTIF(E9:T9,"상")</f>
        <v/>
      </c>
      <c r="W9" s="5" t="inlineStr">
        <is>
          <t>P-1 거의 빈칸 → P-2 핵심 질문만 → P-3 전체 빈칸 / 개별 확인 필요</t>
        </is>
      </c>
    </row>
    <row r="10" ht="36" customHeight="1">
      <c r="A10" s="4" t="n">
        <v>11205</v>
      </c>
      <c r="B10" s="4" t="inlineStr">
        <is>
          <t>김하윤</t>
        </is>
      </c>
      <c r="C10" s="4" t="inlineStr">
        <is>
          <t>습관형성</t>
        </is>
      </c>
      <c r="D10" s="5" t="inlineStr">
        <is>
          <t>헤어 디자인 연습(11월 대회 대비)</t>
        </is>
      </c>
      <c r="E10" s="4" t="inlineStr">
        <is>
          <t>○</t>
        </is>
      </c>
      <c r="F10" s="4" t="inlineStr">
        <is>
          <t>중</t>
        </is>
      </c>
      <c r="G10" s="4" t="inlineStr">
        <is>
          <t>○</t>
        </is>
      </c>
      <c r="H10" s="4" t="inlineStr">
        <is>
          <t>중</t>
        </is>
      </c>
      <c r="I10" s="4" t="inlineStr">
        <is>
          <t>○</t>
        </is>
      </c>
      <c r="J10" s="4" t="inlineStr">
        <is>
          <t>하</t>
        </is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>
        <f>COUNTIF(E10:T10,"○")</f>
        <v/>
      </c>
      <c r="V10" s="4">
        <f>COUNTIF(E10:T10,"상")</f>
        <v/>
      </c>
      <c r="W10" s="5" t="inlineStr">
        <is>
          <t>P-1 습관 주제 정함 → P-2 SMART 목표 미완성 → P-3 실천 0일, 다음 주 주 4회 다짐</t>
        </is>
      </c>
    </row>
    <row r="11" ht="36" customHeight="1">
      <c r="A11" s="4" t="n">
        <v>11206</v>
      </c>
      <c r="B11" s="4" t="inlineStr">
        <is>
          <t>박상욱</t>
        </is>
      </c>
      <c r="C11" s="4" t="inlineStr">
        <is>
          <t>주제탐구</t>
        </is>
      </c>
      <c r="D11" s="5" t="inlineStr">
        <is>
          <t>스포츠과학부 대학 비교(김지훈과 공동)</t>
        </is>
      </c>
      <c r="E11" s="4" t="inlineStr">
        <is>
          <t>○</t>
        </is>
      </c>
      <c r="F11" s="4" t="inlineStr">
        <is>
          <t>하</t>
        </is>
      </c>
      <c r="G11" s="4" t="inlineStr">
        <is>
          <t>○</t>
        </is>
      </c>
      <c r="H11" s="4" t="inlineStr">
        <is>
          <t>하</t>
        </is>
      </c>
      <c r="I11" s="4" t="inlineStr">
        <is>
          <t>○</t>
        </is>
      </c>
      <c r="J11" s="4" t="inlineStr">
        <is>
          <t>하</t>
        </is>
      </c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>
        <f>COUNTIF(E11:T11,"○")</f>
        <v/>
      </c>
      <c r="V11" s="4">
        <f>COUNTIF(E11:T11,"상")</f>
        <v/>
      </c>
      <c r="W11" s="5" t="inlineStr">
        <is>
          <t>P-1 주제 미기재 → P-2 핵심 질문만 → P-3 체대입시 학원 자료 2개(대학명 없음)</t>
        </is>
      </c>
    </row>
    <row r="12" ht="36" customHeight="1">
      <c r="A12" s="4" t="n">
        <v>11207</v>
      </c>
      <c r="B12" s="4" t="inlineStr">
        <is>
          <t>박소은</t>
        </is>
      </c>
      <c r="C12" s="4" t="inlineStr">
        <is>
          <t>진로독서</t>
        </is>
      </c>
      <c r="D12" s="5" t="inlineStr">
        <is>
          <t>『지속가능한 출판을 위한 출판 편집의 시작』</t>
        </is>
      </c>
      <c r="E12" s="4" t="inlineStr">
        <is>
          <t>○</t>
        </is>
      </c>
      <c r="F12" s="4" t="inlineStr">
        <is>
          <t>상</t>
        </is>
      </c>
      <c r="G12" s="4" t="inlineStr">
        <is>
          <t>○</t>
        </is>
      </c>
      <c r="H12" s="4" t="inlineStr">
        <is>
          <t>상</t>
        </is>
      </c>
      <c r="I12" s="4" t="inlineStr">
        <is>
          <t>○</t>
        </is>
      </c>
      <c r="J12" s="4" t="inlineStr">
        <is>
          <t>상</t>
        </is>
      </c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>
        <f>COUNTIF(E12:T12,"○")</f>
        <v/>
      </c>
      <c r="V12" s="4">
        <f>COUNTIF(E12:T12,"상")</f>
        <v/>
      </c>
      <c r="W12" s="5" t="inlineStr">
        <is>
          <t>P-1 출판 편집 도서 계획 → P-2 리뷰 비교 후 도서 선정 → P-3 '편집자 환상' 목차로 현실 점검</t>
        </is>
      </c>
    </row>
    <row r="13" ht="36" customHeight="1">
      <c r="A13" s="4" t="n">
        <v>11208</v>
      </c>
      <c r="B13" s="4" t="inlineStr">
        <is>
          <t>방채원</t>
        </is>
      </c>
      <c r="C13" s="4" t="inlineStr">
        <is>
          <t>주제탐구</t>
        </is>
      </c>
      <c r="D13" s="5" t="inlineStr">
        <is>
          <t>교사의 언어적 상호작용과 유아 말하기 발달</t>
        </is>
      </c>
      <c r="E13" s="4" t="inlineStr">
        <is>
          <t>×</t>
        </is>
      </c>
      <c r="F13" s="4" t="n"/>
      <c r="G13" s="4" t="inlineStr">
        <is>
          <t>○</t>
        </is>
      </c>
      <c r="H13" s="4" t="inlineStr">
        <is>
          <t>상</t>
        </is>
      </c>
      <c r="I13" s="4" t="inlineStr">
        <is>
          <t>○</t>
        </is>
      </c>
      <c r="J13" s="4" t="inlineStr">
        <is>
          <t>중</t>
        </is>
      </c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>
        <f>COUNTIF(E13:T13,"○")</f>
        <v/>
      </c>
      <c r="V13" s="4">
        <f>COUNTIF(E13:T13,"상")</f>
        <v/>
      </c>
      <c r="W13" s="5" t="inlineStr">
        <is>
          <t>P-1 미제출 → P-2 구체적 탐구계획 → P-3 박사논문 1개 요약(자료 추가 필요)</t>
        </is>
      </c>
    </row>
    <row r="14" ht="36" customHeight="1">
      <c r="A14" s="4" t="n">
        <v>11209</v>
      </c>
      <c r="B14" s="4" t="inlineStr">
        <is>
          <t>백주호</t>
        </is>
      </c>
      <c r="C14" s="4" t="inlineStr">
        <is>
          <t>주제탐구</t>
        </is>
      </c>
      <c r="D14" s="5" t="inlineStr">
        <is>
          <t>합기도 강사가 갖춰야 할 덕목(손지훈과 공동)</t>
        </is>
      </c>
      <c r="E14" s="4" t="inlineStr">
        <is>
          <t>○</t>
        </is>
      </c>
      <c r="F14" s="4" t="inlineStr">
        <is>
          <t>중</t>
        </is>
      </c>
      <c r="G14" s="4" t="inlineStr">
        <is>
          <t>○</t>
        </is>
      </c>
      <c r="H14" s="4" t="inlineStr">
        <is>
          <t>중</t>
        </is>
      </c>
      <c r="I14" s="4" t="inlineStr">
        <is>
          <t>○</t>
        </is>
      </c>
      <c r="J14" s="4" t="inlineStr">
        <is>
          <t>중</t>
        </is>
      </c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>
        <f>COUNTIF(E14:T14,"○")</f>
        <v/>
      </c>
      <c r="V14" s="4">
        <f>COUNTIF(E14:T14,"상")</f>
        <v/>
      </c>
      <c r="W14" s="5" t="inlineStr">
        <is>
          <t>P-1 달리기 관련 → P-2 합기도 강사 덕목 → P-3 지도자 태도 기사 2개 / 필체 판독 어려움</t>
        </is>
      </c>
    </row>
    <row r="15" ht="36" customHeight="1">
      <c r="A15" s="4" t="n">
        <v>11210</v>
      </c>
      <c r="B15" s="4" t="inlineStr">
        <is>
          <t>변준기</t>
        </is>
      </c>
      <c r="C15" s="4" t="inlineStr">
        <is>
          <t>주제탐구</t>
        </is>
      </c>
      <c r="D15" s="5" t="inlineStr">
        <is>
          <t>시대에 따른 음악 스타일의 변화</t>
        </is>
      </c>
      <c r="E15" s="4" t="inlineStr">
        <is>
          <t>○</t>
        </is>
      </c>
      <c r="F15" s="4" t="inlineStr">
        <is>
          <t>중</t>
        </is>
      </c>
      <c r="G15" s="4" t="inlineStr">
        <is>
          <t>×</t>
        </is>
      </c>
      <c r="H15" s="4" t="n"/>
      <c r="I15" s="4" t="inlineStr">
        <is>
          <t>○</t>
        </is>
      </c>
      <c r="J15" s="4" t="inlineStr">
        <is>
          <t>중</t>
        </is>
      </c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>
        <f>COUNTIF(E15:T15,"○")</f>
        <v/>
      </c>
      <c r="V15" s="4">
        <f>COUNTIF(E15:T15,"상")</f>
        <v/>
      </c>
      <c r="W15" s="5" t="inlineStr">
        <is>
          <t>P-1 음악 스타일 변화 → P-2 미제출 → P-3 서태지와 아이들 기사 1개 / 탐구 질문 보충 필요</t>
        </is>
      </c>
    </row>
    <row r="16" ht="36" customHeight="1">
      <c r="A16" s="4" t="n">
        <v>11211</v>
      </c>
      <c r="B16" s="4" t="inlineStr">
        <is>
          <t>손지훈</t>
        </is>
      </c>
      <c r="C16" s="4" t="inlineStr">
        <is>
          <t>주제탐구</t>
        </is>
      </c>
      <c r="D16" s="5" t="inlineStr">
        <is>
          <t>스포츠 강사의 덕목과 역량(백주호와 공동)</t>
        </is>
      </c>
      <c r="E16" s="4" t="inlineStr">
        <is>
          <t>○</t>
        </is>
      </c>
      <c r="F16" s="4" t="inlineStr">
        <is>
          <t>중</t>
        </is>
      </c>
      <c r="G16" s="4" t="inlineStr">
        <is>
          <t>○</t>
        </is>
      </c>
      <c r="H16" s="4" t="inlineStr">
        <is>
          <t>중</t>
        </is>
      </c>
      <c r="I16" s="4" t="inlineStr">
        <is>
          <t>○</t>
        </is>
      </c>
      <c r="J16" s="4" t="inlineStr">
        <is>
          <t>상</t>
        </is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>
        <f>COUNTIF(E16:T16,"○")</f>
        <v/>
      </c>
      <c r="V16" s="4">
        <f>COUNTIF(E16:T16,"상")</f>
        <v/>
      </c>
      <c r="W16" s="5" t="inlineStr">
        <is>
          <t>P-1 조리 관련 → P-2 스포츠 강사로 변경 → P-3 자료 4개 고르게 수집</t>
        </is>
      </c>
    </row>
    <row r="17" ht="36" customHeight="1">
      <c r="A17" s="4" t="n">
        <v>11212</v>
      </c>
      <c r="B17" s="4" t="inlineStr">
        <is>
          <t>심민주</t>
        </is>
      </c>
      <c r="C17" s="4" t="inlineStr">
        <is>
          <t>주제탐구</t>
        </is>
      </c>
      <c r="D17" s="5" t="inlineStr">
        <is>
          <t>영미 텍스트 번역의 문화적 등가성·문화번역</t>
        </is>
      </c>
      <c r="E17" s="4" t="inlineStr">
        <is>
          <t>×</t>
        </is>
      </c>
      <c r="F17" s="4" t="n"/>
      <c r="G17" s="4" t="inlineStr">
        <is>
          <t>○</t>
        </is>
      </c>
      <c r="H17" s="4" t="inlineStr">
        <is>
          <t>상</t>
        </is>
      </c>
      <c r="I17" s="4" t="inlineStr">
        <is>
          <t>○</t>
        </is>
      </c>
      <c r="J17" s="4" t="inlineStr">
        <is>
          <t>상</t>
        </is>
      </c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>
        <f>COUNTIF(E17:T17,"○")</f>
        <v/>
      </c>
      <c r="V17" s="4">
        <f>COUNTIF(E17:T17,"상")</f>
        <v/>
      </c>
      <c r="W17" s="5" t="inlineStr">
        <is>
          <t>P-1 미제출 → P-2 매우 구체적 계획 → P-3 이론서·AI 번역 실험·번역본 비교 5개+보고서 구성(반 최고 수준)</t>
        </is>
      </c>
    </row>
    <row r="18" ht="36" customHeight="1">
      <c r="A18" s="4" t="n">
        <v>11213</v>
      </c>
      <c r="B18" s="4" t="inlineStr">
        <is>
          <t>안정연</t>
        </is>
      </c>
      <c r="C18" s="4" t="inlineStr">
        <is>
          <t>습관형성</t>
        </is>
      </c>
      <c r="D18" s="5" t="inlineStr">
        <is>
          <t>하루 그림 1장 완성(일러스트)</t>
        </is>
      </c>
      <c r="E18" s="4" t="inlineStr">
        <is>
          <t>○</t>
        </is>
      </c>
      <c r="F18" s="4" t="inlineStr">
        <is>
          <t>하</t>
        </is>
      </c>
      <c r="G18" s="4" t="inlineStr">
        <is>
          <t>○</t>
        </is>
      </c>
      <c r="H18" s="4" t="inlineStr">
        <is>
          <t>상</t>
        </is>
      </c>
      <c r="I18" s="4" t="inlineStr">
        <is>
          <t>○</t>
        </is>
      </c>
      <c r="J18" s="4" t="inlineStr">
        <is>
          <t>하</t>
        </is>
      </c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>
        <f>COUNTIF(E18:T18,"○")</f>
        <v/>
      </c>
      <c r="V18" s="4">
        <f>COUNTIF(E18:T18,"상")</f>
        <v/>
      </c>
      <c r="W18" s="5" t="inlineStr">
        <is>
          <t>P-1 거의 빈칸 → P-2 SMART 목표 구체적 → P-3 실천 1일(시작일 착각한 듯)</t>
        </is>
      </c>
    </row>
    <row r="19" ht="36" customHeight="1">
      <c r="A19" s="4" t="n">
        <v>11214</v>
      </c>
      <c r="B19" s="4" t="inlineStr">
        <is>
          <t>엄태훈</t>
        </is>
      </c>
      <c r="C19" s="4" t="inlineStr">
        <is>
          <t>주제탐구</t>
        </is>
      </c>
      <c r="D19" s="5" t="inlineStr">
        <is>
          <t>수의사와 사육사 비교</t>
        </is>
      </c>
      <c r="E19" s="4" t="inlineStr">
        <is>
          <t>○</t>
        </is>
      </c>
      <c r="F19" s="4" t="inlineStr">
        <is>
          <t>중</t>
        </is>
      </c>
      <c r="G19" s="4" t="inlineStr">
        <is>
          <t>○</t>
        </is>
      </c>
      <c r="H19" s="4" t="inlineStr">
        <is>
          <t>중</t>
        </is>
      </c>
      <c r="I19" s="4" t="inlineStr">
        <is>
          <t>○</t>
        </is>
      </c>
      <c r="J19" s="4" t="inlineStr">
        <is>
          <t>상</t>
        </is>
      </c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>
        <f>COUNTIF(E19:T19,"○")</f>
        <v/>
      </c>
      <c r="V19" s="4">
        <f>COUNTIF(E19:T19,"상")</f>
        <v/>
      </c>
      <c r="W19" s="5" t="inlineStr">
        <is>
          <t>P-1 반려동물 수(짝과 공동) → P-2 수의사·사육사 비교 → P-3 연봉·근무 여건·학과 자료 3개</t>
        </is>
      </c>
    </row>
    <row r="20" ht="36" customHeight="1">
      <c r="A20" s="4" t="n">
        <v>11215</v>
      </c>
      <c r="B20" s="4" t="inlineStr">
        <is>
          <t>윤도영</t>
        </is>
      </c>
      <c r="C20" s="4" t="inlineStr">
        <is>
          <t>주제탐구</t>
        </is>
      </c>
      <c r="D20" s="5" t="inlineStr">
        <is>
          <t>숏폼·알고리즘이 청소년에게 미치는 영향</t>
        </is>
      </c>
      <c r="E20" s="4" t="inlineStr">
        <is>
          <t>○</t>
        </is>
      </c>
      <c r="F20" s="4" t="inlineStr">
        <is>
          <t>중</t>
        </is>
      </c>
      <c r="G20" s="4" t="inlineStr">
        <is>
          <t>○</t>
        </is>
      </c>
      <c r="H20" s="4" t="inlineStr">
        <is>
          <t>중</t>
        </is>
      </c>
      <c r="I20" s="4" t="inlineStr">
        <is>
          <t>○</t>
        </is>
      </c>
      <c r="J20" s="4" t="inlineStr">
        <is>
          <t>상</t>
        </is>
      </c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>
        <f>COUNTIF(E20:T20,"○")</f>
        <v/>
      </c>
      <c r="V20" s="4">
        <f>COUNTIF(E20:T20,"상")</f>
        <v/>
      </c>
      <c r="W20" s="5" t="inlineStr">
        <is>
          <t>P-1 방송·유튜브 → P-2 예시와 비슷한 주제 → P-3 실태조사·학술논문 3개로 뒷받침</t>
        </is>
      </c>
    </row>
    <row r="21" ht="36" customHeight="1">
      <c r="A21" s="4" t="n">
        <v>11216</v>
      </c>
      <c r="B21" s="4" t="inlineStr">
        <is>
          <t>이봉희</t>
        </is>
      </c>
      <c r="C21" s="4" t="inlineStr">
        <is>
          <t>주제탐구</t>
        </is>
      </c>
      <c r="D21" s="5" t="inlineStr">
        <is>
          <t>마약 범죄와 경찰의 역할</t>
        </is>
      </c>
      <c r="E21" s="4" t="inlineStr">
        <is>
          <t>○</t>
        </is>
      </c>
      <c r="F21" s="4" t="inlineStr">
        <is>
          <t>상</t>
        </is>
      </c>
      <c r="G21" s="4" t="inlineStr">
        <is>
          <t>○</t>
        </is>
      </c>
      <c r="H21" s="4" t="inlineStr">
        <is>
          <t>중</t>
        </is>
      </c>
      <c r="I21" s="4" t="inlineStr">
        <is>
          <t>○</t>
        </is>
      </c>
      <c r="J21" s="4" t="inlineStr">
        <is>
          <t>중</t>
        </is>
      </c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>
        <f>COUNTIF(E21:T21,"○")</f>
        <v/>
      </c>
      <c r="V21" s="4">
        <f>COUNTIF(E21:T21,"상")</f>
        <v/>
      </c>
      <c r="W21" s="5" t="inlineStr">
        <is>
          <t>P-1 구체적 계획 → P-2 마약 정의·범죄 변화 → P-3 대검찰청 자료 1개</t>
        </is>
      </c>
    </row>
    <row r="22" ht="36" customHeight="1">
      <c r="A22" s="4" t="n">
        <v>11217</v>
      </c>
      <c r="B22" s="4" t="inlineStr">
        <is>
          <t>이우주</t>
        </is>
      </c>
      <c r="C22" s="4" t="inlineStr">
        <is>
          <t>주제탐구</t>
        </is>
      </c>
      <c r="D22" s="5" t="inlineStr">
        <is>
          <t>빛으로 물체·색을 인식하는 과정</t>
        </is>
      </c>
      <c r="E22" s="4" t="inlineStr">
        <is>
          <t>○</t>
        </is>
      </c>
      <c r="F22" s="4" t="inlineStr">
        <is>
          <t>상</t>
        </is>
      </c>
      <c r="G22" s="4" t="inlineStr">
        <is>
          <t>○</t>
        </is>
      </c>
      <c r="H22" s="4" t="inlineStr">
        <is>
          <t>상</t>
        </is>
      </c>
      <c r="I22" s="4" t="inlineStr">
        <is>
          <t>○</t>
        </is>
      </c>
      <c r="J22" s="4" t="inlineStr">
        <is>
          <t>하</t>
        </is>
      </c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>
        <f>COUNTIF(E22:T22,"○")</f>
        <v/>
      </c>
      <c r="V22" s="4">
        <f>COUNTIF(E22:T22,"상")</f>
        <v/>
      </c>
      <c r="W22" s="5" t="inlineStr">
        <is>
          <t>P-1·P-2 구체적 → P-3 전체 빈칸 / 결석·사정 확인 필요</t>
        </is>
      </c>
    </row>
    <row r="23" ht="36" customHeight="1">
      <c r="A23" s="4" t="n">
        <v>11218</v>
      </c>
      <c r="B23" s="4" t="inlineStr">
        <is>
          <t>이름확인필요</t>
        </is>
      </c>
      <c r="C23" s="4" t="inlineStr">
        <is>
          <t>진로독서</t>
        </is>
      </c>
      <c r="D23" s="5" t="inlineStr">
        <is>
          <t>회계 관련 도서(제목 미기재)</t>
        </is>
      </c>
      <c r="E23" s="4" t="inlineStr">
        <is>
          <t>○</t>
        </is>
      </c>
      <c r="F23" s="4" t="inlineStr">
        <is>
          <t>하</t>
        </is>
      </c>
      <c r="G23" s="4" t="inlineStr">
        <is>
          <t>○</t>
        </is>
      </c>
      <c r="H23" s="4" t="inlineStr">
        <is>
          <t>중</t>
        </is>
      </c>
      <c r="I23" s="4" t="inlineStr">
        <is>
          <t>○</t>
        </is>
      </c>
      <c r="J23" s="4" t="inlineStr">
        <is>
          <t>중</t>
        </is>
      </c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>
        <f>COUNTIF(E23:T23,"○")</f>
        <v/>
      </c>
      <c r="V23" s="4">
        <f>COUNTIF(E23:T23,"상")</f>
        <v/>
      </c>
      <c r="W23" s="5" t="inlineStr">
        <is>
          <t>P-1 도서 미정 → P-2 회계 도서 선정 → P-3 독서 전 활동 한 줄씩 / 이름 확인 필요</t>
        </is>
      </c>
    </row>
    <row r="24" ht="36" customHeight="1">
      <c r="A24" s="4" t="n">
        <v>11219</v>
      </c>
      <c r="B24" s="4" t="inlineStr">
        <is>
          <t>정은혜</t>
        </is>
      </c>
      <c r="C24" s="4" t="inlineStr">
        <is>
          <t>(미정)</t>
        </is>
      </c>
      <c r="D24" s="5" t="inlineStr">
        <is>
          <t>(활동지 없음)</t>
        </is>
      </c>
      <c r="E24" s="4" t="inlineStr">
        <is>
          <t>×</t>
        </is>
      </c>
      <c r="F24" s="4" t="n"/>
      <c r="G24" s="4" t="inlineStr">
        <is>
          <t>×</t>
        </is>
      </c>
      <c r="H24" s="4" t="n"/>
      <c r="I24" s="4" t="inlineStr">
        <is>
          <t>×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>
        <f>COUNTIF(E24:T24,"○")</f>
        <v/>
      </c>
      <c r="V24" s="4">
        <f>COUNTIF(E24:T24,"상")</f>
        <v/>
      </c>
      <c r="W24" s="5" t="inlineStr">
        <is>
          <t>P-1~P-3 모두 미제출 / 결석·미제출 확인 필요</t>
        </is>
      </c>
    </row>
    <row r="25" ht="36" customHeight="1">
      <c r="A25" s="4" t="n">
        <v>11220</v>
      </c>
      <c r="B25" s="4" t="inlineStr">
        <is>
          <t>최나은</t>
        </is>
      </c>
      <c r="C25" s="4" t="inlineStr">
        <is>
          <t>습관형성</t>
        </is>
      </c>
      <c r="D25" s="5" t="inlineStr">
        <is>
          <t>경제 뉴스 읽는 습관</t>
        </is>
      </c>
      <c r="E25" s="4" t="inlineStr">
        <is>
          <t>○</t>
        </is>
      </c>
      <c r="F25" s="4" t="inlineStr">
        <is>
          <t>상</t>
        </is>
      </c>
      <c r="G25" s="4" t="inlineStr">
        <is>
          <t>×</t>
        </is>
      </c>
      <c r="H25" s="4" t="n"/>
      <c r="I25" s="4" t="inlineStr">
        <is>
          <t>○</t>
        </is>
      </c>
      <c r="J25" s="4" t="inlineStr">
        <is>
          <t>중</t>
        </is>
      </c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>
        <f>COUNTIF(E25:T25,"○")</f>
        <v/>
      </c>
      <c r="V25" s="4">
        <f>COUNTIF(E25:T25,"상")</f>
        <v/>
      </c>
      <c r="W25" s="5" t="inlineStr">
        <is>
          <t>P-1 구체적 계획 → P-2 미제출 → P-3 월 1회 기록(질 높음), 꾸준함 격려 필요</t>
        </is>
      </c>
    </row>
    <row r="26" ht="36" customHeight="1">
      <c r="A26" s="4" t="n">
        <v>11221</v>
      </c>
      <c r="B26" s="4" t="inlineStr">
        <is>
          <t>타이압</t>
        </is>
      </c>
      <c r="C26" s="4" t="inlineStr">
        <is>
          <t>주제탐구</t>
        </is>
      </c>
      <c r="D26" s="5" t="inlineStr">
        <is>
          <t>가격 전략과 소비자 구매 행동(홍의찬과 공동)</t>
        </is>
      </c>
      <c r="E26" s="4" t="inlineStr">
        <is>
          <t>○</t>
        </is>
      </c>
      <c r="F26" s="4" t="inlineStr">
        <is>
          <t>하</t>
        </is>
      </c>
      <c r="G26" s="4" t="inlineStr">
        <is>
          <t>○</t>
        </is>
      </c>
      <c r="H26" s="4" t="inlineStr">
        <is>
          <t>하</t>
        </is>
      </c>
      <c r="I26" s="4" t="inlineStr">
        <is>
          <t>○</t>
        </is>
      </c>
      <c r="J26" s="4" t="inlineStr">
        <is>
          <t>중</t>
        </is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>
        <f>COUNTIF(E26:T26,"○")</f>
        <v/>
      </c>
      <c r="V26" s="4">
        <f>COUNTIF(E26:T26,"상")</f>
        <v/>
      </c>
      <c r="W26" s="5" t="inlineStr">
        <is>
          <t>P-1 주제 미정 → P-2 핵심 질문만 → P-3 DBpia 논문 2개 요약</t>
        </is>
      </c>
    </row>
    <row r="27" ht="36" customHeight="1">
      <c r="A27" s="4" t="n">
        <v>11222</v>
      </c>
      <c r="B27" s="4" t="inlineStr">
        <is>
          <t>허윤주</t>
        </is>
      </c>
      <c r="C27" s="4" t="inlineStr">
        <is>
          <t>주제탐구</t>
        </is>
      </c>
      <c r="D27" s="5" t="inlineStr">
        <is>
          <t>미용사가 개인의 삶과 사회에 미치는 영향</t>
        </is>
      </c>
      <c r="E27" s="4" t="inlineStr">
        <is>
          <t>○</t>
        </is>
      </c>
      <c r="F27" s="4" t="inlineStr">
        <is>
          <t>상</t>
        </is>
      </c>
      <c r="G27" s="4" t="inlineStr">
        <is>
          <t>○</t>
        </is>
      </c>
      <c r="H27" s="4" t="inlineStr">
        <is>
          <t>상</t>
        </is>
      </c>
      <c r="I27" s="4" t="inlineStr">
        <is>
          <t>○</t>
        </is>
      </c>
      <c r="J27" s="4" t="inlineStr">
        <is>
          <t>상</t>
        </is>
      </c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>
        <f>COUNTIF(E27:T27,"○")</f>
        <v/>
      </c>
      <c r="V27" s="4">
        <f>COUNTIF(E27:T27,"상")</f>
        <v/>
      </c>
      <c r="W27" s="5" t="inlineStr">
        <is>
          <t>P-1 AI 시대 헤어 디자이너 → P-2 구체적 계획 → P-3 자료 4개+메모</t>
        </is>
      </c>
    </row>
    <row r="28" ht="36" customHeight="1">
      <c r="A28" s="4" t="n">
        <v>11223</v>
      </c>
      <c r="B28" s="4" t="inlineStr">
        <is>
          <t>홍의찬</t>
        </is>
      </c>
      <c r="C28" s="4" t="inlineStr">
        <is>
          <t>주제탐구</t>
        </is>
      </c>
      <c r="D28" s="5" t="inlineStr">
        <is>
          <t>가격 전략과 소비자 구매 행동(타이압과 공동)</t>
        </is>
      </c>
      <c r="E28" s="4" t="inlineStr">
        <is>
          <t>○</t>
        </is>
      </c>
      <c r="F28" s="4" t="inlineStr">
        <is>
          <t>하</t>
        </is>
      </c>
      <c r="G28" s="4" t="inlineStr">
        <is>
          <t>○</t>
        </is>
      </c>
      <c r="H28" s="4" t="inlineStr">
        <is>
          <t>하</t>
        </is>
      </c>
      <c r="I28" s="4" t="inlineStr">
        <is>
          <t>○</t>
        </is>
      </c>
      <c r="J28" s="4" t="inlineStr">
        <is>
          <t>중</t>
        </is>
      </c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>
        <f>COUNTIF(E28:T28,"○")</f>
        <v/>
      </c>
      <c r="V28" s="4">
        <f>COUNTIF(E28:T28,"상")</f>
        <v/>
      </c>
      <c r="W28" s="5" t="inlineStr">
        <is>
          <t>P-1 트랙 미체크 → P-2 핵심 질문만 → P-3 블로그 자료 2개(공신력 보완 필요)</t>
        </is>
      </c>
    </row>
    <row r="30">
      <c r="A30" s="12" t="inlineStr">
        <is>
          <t>제출 인원(○)</t>
        </is>
      </c>
      <c r="B30" s="12" t="n"/>
      <c r="C30" s="12" t="n"/>
      <c r="D30" s="12" t="n"/>
      <c r="E30" s="12">
        <f>IF(COUNTA(E6:E28)=0,"",COUNTIF(E6:E28,"○"))</f>
        <v/>
      </c>
      <c r="F30" s="12" t="n"/>
      <c r="G30" s="12">
        <f>IF(COUNTA(G6:G28)=0,"",COUNTIF(G6:G28,"○"))</f>
        <v/>
      </c>
      <c r="H30" s="12" t="n"/>
      <c r="I30" s="12">
        <f>IF(COUNTA(I6:I28)=0,"",COUNTIF(I6:I28,"○"))</f>
        <v/>
      </c>
      <c r="J30" s="12" t="n"/>
      <c r="K30" s="12">
        <f>IF(COUNTA(K6:K28)=0,"",COUNTIF(K6:K28,"○"))</f>
        <v/>
      </c>
      <c r="L30" s="12" t="n"/>
      <c r="M30" s="12">
        <f>IF(COUNTA(M6:M28)=0,"",COUNTIF(M6:M28,"○"))</f>
        <v/>
      </c>
      <c r="N30" s="12" t="n"/>
      <c r="O30" s="12">
        <f>IF(COUNTA(O6:O28)=0,"",COUNTIF(O6:O28,"○"))</f>
        <v/>
      </c>
      <c r="P30" s="12" t="n"/>
      <c r="Q30" s="12">
        <f>IF(COUNTA(Q6:Q28)=0,"",COUNTIF(Q6:Q28,"○"))</f>
        <v/>
      </c>
      <c r="R30" s="12" t="n"/>
      <c r="S30" s="12">
        <f>IF(COUNTA(S6:S28)=0,"",COUNTIF(S6:S28,"○"))</f>
        <v/>
      </c>
      <c r="T30" s="12" t="n"/>
      <c r="U30" s="12" t="n"/>
      <c r="V30" s="12" t="n"/>
      <c r="W30" s="12" t="n"/>
    </row>
    <row r="31">
      <c r="A31" s="12" t="inlineStr">
        <is>
          <t>미제출(×)</t>
        </is>
      </c>
      <c r="B31" s="12" t="n"/>
      <c r="C31" s="12" t="n"/>
      <c r="D31" s="12" t="n"/>
      <c r="E31" s="12">
        <f>IF(COUNTA(E6:E28)=0,"",COUNTIF(E6:E28,"×"))</f>
        <v/>
      </c>
      <c r="F31" s="12" t="n"/>
      <c r="G31" s="12">
        <f>IF(COUNTA(G6:G28)=0,"",COUNTIF(G6:G28,"×"))</f>
        <v/>
      </c>
      <c r="H31" s="12" t="n"/>
      <c r="I31" s="12">
        <f>IF(COUNTA(I6:I28)=0,"",COUNTIF(I6:I28,"×"))</f>
        <v/>
      </c>
      <c r="J31" s="12" t="n"/>
      <c r="K31" s="12">
        <f>IF(COUNTA(K6:K28)=0,"",COUNTIF(K6:K28,"×"))</f>
        <v/>
      </c>
      <c r="L31" s="12" t="n"/>
      <c r="M31" s="12">
        <f>IF(COUNTA(M6:M28)=0,"",COUNTIF(M6:M28,"×"))</f>
        <v/>
      </c>
      <c r="N31" s="12" t="n"/>
      <c r="O31" s="12">
        <f>IF(COUNTA(O6:O28)=0,"",COUNTIF(O6:O28,"×"))</f>
        <v/>
      </c>
      <c r="P31" s="12" t="n"/>
      <c r="Q31" s="12">
        <f>IF(COUNTA(Q6:Q28)=0,"",COUNTIF(Q6:Q28,"×"))</f>
        <v/>
      </c>
      <c r="R31" s="12" t="n"/>
      <c r="S31" s="12">
        <f>IF(COUNTA(S6:S28)=0,"",COUNTIF(S6:S28,"×"))</f>
        <v/>
      </c>
      <c r="T31" s="12" t="n"/>
      <c r="U31" s="12" t="n"/>
      <c r="V31" s="12" t="n"/>
      <c r="W31" s="12" t="n"/>
    </row>
    <row r="32">
      <c r="A32" s="12" t="inlineStr">
        <is>
          <t>상</t>
        </is>
      </c>
      <c r="B32" s="12" t="n"/>
      <c r="C32" s="12" t="n"/>
      <c r="D32" s="12" t="n"/>
      <c r="E32" s="12" t="n"/>
      <c r="F32" s="12">
        <f>IF(COUNTA(F6:F28)=0,"",COUNTIF(F6:F28,"상"))</f>
        <v/>
      </c>
      <c r="G32" s="12" t="n"/>
      <c r="H32" s="12">
        <f>IF(COUNTA(H6:H28)=0,"",COUNTIF(H6:H28,"상"))</f>
        <v/>
      </c>
      <c r="I32" s="12" t="n"/>
      <c r="J32" s="12">
        <f>IF(COUNTA(J6:J28)=0,"",COUNTIF(J6:J28,"상"))</f>
        <v/>
      </c>
      <c r="K32" s="12" t="n"/>
      <c r="L32" s="12">
        <f>IF(COUNTA(L6:L28)=0,"",COUNTIF(L6:L28,"상"))</f>
        <v/>
      </c>
      <c r="M32" s="12" t="n"/>
      <c r="N32" s="12">
        <f>IF(COUNTA(N6:N28)=0,"",COUNTIF(N6:N28,"상"))</f>
        <v/>
      </c>
      <c r="O32" s="12" t="n"/>
      <c r="P32" s="12">
        <f>IF(COUNTA(P6:P28)=0,"",COUNTIF(P6:P28,"상"))</f>
        <v/>
      </c>
      <c r="Q32" s="12" t="n"/>
      <c r="R32" s="12">
        <f>IF(COUNTA(R6:R28)=0,"",COUNTIF(R6:R28,"상"))</f>
        <v/>
      </c>
      <c r="S32" s="12" t="n"/>
      <c r="T32" s="12">
        <f>IF(COUNTA(T6:T28)=0,"",COUNTIF(T6:T28,"상"))</f>
        <v/>
      </c>
      <c r="U32" s="12" t="n"/>
      <c r="V32" s="12" t="n"/>
      <c r="W32" s="12" t="n"/>
    </row>
    <row r="33">
      <c r="A33" s="12" t="inlineStr">
        <is>
          <t>중</t>
        </is>
      </c>
      <c r="B33" s="12" t="n"/>
      <c r="C33" s="12" t="n"/>
      <c r="D33" s="12" t="n"/>
      <c r="E33" s="12" t="n"/>
      <c r="F33" s="12">
        <f>IF(COUNTA(F6:F28)=0,"",COUNTIF(F6:F28,"중"))</f>
        <v/>
      </c>
      <c r="G33" s="12" t="n"/>
      <c r="H33" s="12">
        <f>IF(COUNTA(H6:H28)=0,"",COUNTIF(H6:H28,"중"))</f>
        <v/>
      </c>
      <c r="I33" s="12" t="n"/>
      <c r="J33" s="12">
        <f>IF(COUNTA(J6:J28)=0,"",COUNTIF(J6:J28,"중"))</f>
        <v/>
      </c>
      <c r="K33" s="12" t="n"/>
      <c r="L33" s="12">
        <f>IF(COUNTA(L6:L28)=0,"",COUNTIF(L6:L28,"중"))</f>
        <v/>
      </c>
      <c r="M33" s="12" t="n"/>
      <c r="N33" s="12">
        <f>IF(COUNTA(N6:N28)=0,"",COUNTIF(N6:N28,"중"))</f>
        <v/>
      </c>
      <c r="O33" s="12" t="n"/>
      <c r="P33" s="12">
        <f>IF(COUNTA(P6:P28)=0,"",COUNTIF(P6:P28,"중"))</f>
        <v/>
      </c>
      <c r="Q33" s="12" t="n"/>
      <c r="R33" s="12">
        <f>IF(COUNTA(R6:R28)=0,"",COUNTIF(R6:R28,"중"))</f>
        <v/>
      </c>
      <c r="S33" s="12" t="n"/>
      <c r="T33" s="12">
        <f>IF(COUNTA(T6:T28)=0,"",COUNTIF(T6:T28,"중"))</f>
        <v/>
      </c>
      <c r="U33" s="12" t="n"/>
      <c r="V33" s="12" t="n"/>
      <c r="W33" s="12" t="n"/>
    </row>
    <row r="34">
      <c r="A34" s="12" t="inlineStr">
        <is>
          <t>하</t>
        </is>
      </c>
      <c r="B34" s="12" t="n"/>
      <c r="C34" s="12" t="n"/>
      <c r="D34" s="12" t="n"/>
      <c r="E34" s="12" t="n"/>
      <c r="F34" s="12">
        <f>IF(COUNTA(F6:F28)=0,"",COUNTIF(F6:F28,"하"))</f>
        <v/>
      </c>
      <c r="G34" s="12" t="n"/>
      <c r="H34" s="12">
        <f>IF(COUNTA(H6:H28)=0,"",COUNTIF(H6:H28,"하"))</f>
        <v/>
      </c>
      <c r="I34" s="12" t="n"/>
      <c r="J34" s="12">
        <f>IF(COUNTA(J6:J28)=0,"",COUNTIF(J6:J28,"하"))</f>
        <v/>
      </c>
      <c r="K34" s="12" t="n"/>
      <c r="L34" s="12">
        <f>IF(COUNTA(L6:L28)=0,"",COUNTIF(L6:L28,"하"))</f>
        <v/>
      </c>
      <c r="M34" s="12" t="n"/>
      <c r="N34" s="12">
        <f>IF(COUNTA(N6:N28)=0,"",COUNTIF(N6:N28,"하"))</f>
        <v/>
      </c>
      <c r="O34" s="12" t="n"/>
      <c r="P34" s="12">
        <f>IF(COUNTA(P6:P28)=0,"",COUNTIF(P6:P28,"하"))</f>
        <v/>
      </c>
      <c r="Q34" s="12" t="n"/>
      <c r="R34" s="12">
        <f>IF(COUNTA(R6:R28)=0,"",COUNTIF(R6:R28,"하"))</f>
        <v/>
      </c>
      <c r="S34" s="12" t="n"/>
      <c r="T34" s="12">
        <f>IF(COUNTA(T6:T28)=0,"",COUNTIF(T6:T28,"하"))</f>
        <v/>
      </c>
      <c r="U34" s="12" t="n"/>
      <c r="V34" s="12" t="n"/>
      <c r="W34" s="12" t="n"/>
    </row>
  </sheetData>
  <mergeCells count="22">
    <mergeCell ref="C4:C5"/>
    <mergeCell ref="V4:V5"/>
    <mergeCell ref="E4:F4"/>
    <mergeCell ref="A1:W1"/>
    <mergeCell ref="A31:D31"/>
    <mergeCell ref="A32:D32"/>
    <mergeCell ref="A34:D34"/>
    <mergeCell ref="D4:D5"/>
    <mergeCell ref="A30:D30"/>
    <mergeCell ref="O4:P4"/>
    <mergeCell ref="Q4:R4"/>
    <mergeCell ref="A4:A5"/>
    <mergeCell ref="U4:U5"/>
    <mergeCell ref="A2:W2"/>
    <mergeCell ref="G4:H4"/>
    <mergeCell ref="I4:J4"/>
    <mergeCell ref="B4:B5"/>
    <mergeCell ref="W4:W5"/>
    <mergeCell ref="A33:D33"/>
    <mergeCell ref="K4:L4"/>
    <mergeCell ref="M4:N4"/>
    <mergeCell ref="S4:T4"/>
  </mergeCells>
  <conditionalFormatting sqref="E6:T28">
    <cfRule type="cellIs" priority="1" operator="equal" dxfId="0">
      <formula>"상"</formula>
    </cfRule>
    <cfRule type="cellIs" priority="2" operator="equal" dxfId="1">
      <formula>"중"</formula>
    </cfRule>
    <cfRule type="cellIs" priority="3" operator="equal" dxfId="2">
      <formula>"하"</formula>
    </cfRule>
    <cfRule type="cellIs" priority="4" operator="equal" dxfId="3">
      <formula>"×"</formula>
    </cfRule>
  </conditionalFormatting>
  <dataValidations count="2">
    <dataValidation sqref="E6:E28 G6:G28 I6:I28 K6:K28 M6:M28 O6:O28 Q6:Q28 S6:S28" showDropDown="0" showInputMessage="0" showErrorMessage="0" allowBlank="1" type="list">
      <formula1>"○,×"</formula1>
    </dataValidation>
    <dataValidation sqref="F6:F28 H6:H28 J6:J28 L6:L28 N6:N28 P6:P28 R6:R28 T6:T28" showDropDown="0" showInputMessage="0" showErrorMessage="0" allowBlank="1" type="list">
      <formula1>"상,중,하"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F12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30" customWidth="1" min="3" max="3"/>
    <col width="44" customWidth="1" min="4" max="4"/>
    <col width="16" customWidth="1" min="5" max="5"/>
    <col width="40" customWidth="1" min="6" max="6"/>
  </cols>
  <sheetData>
    <row r="1" ht="22" customHeight="1">
      <c r="A1" s="1" t="inlineStr">
        <is>
          <t>2026학년도 1학년 12반 진로수업 차시 목록 및 반 현황</t>
        </is>
      </c>
    </row>
    <row r="3">
      <c r="A3" s="6" t="inlineStr">
        <is>
          <t>① 차시 목록</t>
        </is>
      </c>
    </row>
    <row r="4">
      <c r="A4" s="3" t="inlineStr">
        <is>
          <t>차시</t>
        </is>
      </c>
      <c r="B4" s="3" t="inlineStr">
        <is>
          <t>활동명</t>
        </is>
      </c>
      <c r="C4" s="3" t="inlineStr">
        <is>
          <t>주요 내용</t>
        </is>
      </c>
      <c r="D4" s="3" t="inlineStr">
        <is>
          <t>정리된 학생</t>
        </is>
      </c>
      <c r="E4" s="3" t="n"/>
      <c r="F4" s="3" t="n"/>
    </row>
    <row r="5" ht="32" customHeight="1">
      <c r="A5" s="4" t="inlineStr">
        <is>
          <t>1-1</t>
        </is>
      </c>
      <c r="B5" s="5" t="inlineStr">
        <is>
          <t>진로수업 OT</t>
        </is>
      </c>
      <c r="C5" s="5" t="inlineStr">
        <is>
          <t>진진가 자기소개, 진로활동 안내, 질문지, 약속·다짐</t>
        </is>
      </c>
      <c r="D5" s="5" t="inlineStr">
        <is>
          <t>21명: 11201, 11202, 11203, 11204, 11205, 11206, 11207, 11208, 11209, 11210, 11211, 11212, 11213, 11214, 11215, 11216, 11217, 11220, 11221, 11222, 11223</t>
        </is>
      </c>
      <c r="E5" s="5" t="n"/>
      <c r="F5" s="5" t="n"/>
    </row>
    <row r="6" ht="32" customHeight="1">
      <c r="A6" s="4" t="inlineStr">
        <is>
          <t>1-2</t>
        </is>
      </c>
      <c r="B6" s="5" t="inlineStr">
        <is>
          <t>나의 3년을 담는 기록장_학교생활기록부</t>
        </is>
      </c>
      <c r="C6" s="5" t="inlineStr">
        <is>
          <t>생기부 항목, 수시·정시, 세특·창체, 2028 수능</t>
        </is>
      </c>
      <c r="D6" s="5" t="inlineStr">
        <is>
          <t>20명: 11201, 11202, 11203, 11205, 11206, 11207, 11208, 11209, 11210, 11211, 11212, 11213, 11214, 11215, 11216, 11217, 11220, 11221, 11222, 11223</t>
        </is>
      </c>
      <c r="E6" s="5" t="n"/>
      <c r="F6" s="5" t="n"/>
    </row>
    <row r="7" ht="32" customHeight="1">
      <c r="A7" s="4" t="inlineStr">
        <is>
          <t>1-3</t>
        </is>
      </c>
      <c r="B7" s="5" t="inlineStr">
        <is>
          <t>고등학교 내신 산출의 이해</t>
        </is>
      </c>
      <c r="C7" s="5" t="inlineStr">
        <is>
          <t>5등급제 커트라인 계산, 시험 계획</t>
        </is>
      </c>
      <c r="D7" s="5" t="inlineStr">
        <is>
          <t>15명: 11201, 11202, 11203, 11205, 11206, 11208, 11210, 11211, 11213, 11214, 11216, 11217, 11220, 11221, 11222</t>
        </is>
      </c>
      <c r="E7" s="5" t="n"/>
      <c r="F7" s="5" t="n"/>
    </row>
    <row r="8" ht="32" customHeight="1">
      <c r="A8" s="4" t="inlineStr">
        <is>
          <t>1-4</t>
        </is>
      </c>
      <c r="B8" s="5" t="inlineStr">
        <is>
          <t>자기 이해 검사 종합하기</t>
        </is>
      </c>
      <c r="C8" s="5" t="inlineStr">
        <is>
          <t>강점진로검사, MIT 전공흥미검사</t>
        </is>
      </c>
      <c r="D8" s="5" t="inlineStr">
        <is>
          <t>19명: 11201, 11202, 11203, 11205, 11206, 11207, 11208, 11210, 11211, 11212, 11213, 11214, 11215, 11216, 11217, 11220, 11221, 11222, 11223</t>
        </is>
      </c>
      <c r="E8" s="5" t="n"/>
      <c r="F8" s="5" t="n"/>
    </row>
    <row r="9" ht="32" customHeight="1">
      <c r="A9" s="4" t="inlineStr">
        <is>
          <t>1-5</t>
        </is>
      </c>
      <c r="B9" s="5" t="inlineStr">
        <is>
          <t>최고 관심 직업 선정하기</t>
        </is>
      </c>
      <c r="C9" s="5" t="inlineStr">
        <is>
          <t>관심 직업 4개 정보 수집, 토너먼트</t>
        </is>
      </c>
      <c r="D9" s="5" t="inlineStr">
        <is>
          <t>21명: 11201, 11202, 11203, 11205, 11206, 11207, 11208, 11209, 11210, 11211, 11212, 11213, 11214, 11215, 11216, 11217, 11219, 11220, 11221, 11222, 11223</t>
        </is>
      </c>
      <c r="E9" s="5" t="n"/>
      <c r="F9" s="5" t="n"/>
    </row>
    <row r="10" ht="32" customHeight="1">
      <c r="A10" s="4" t="inlineStr">
        <is>
          <t>1-6</t>
        </is>
      </c>
      <c r="B10" s="5" t="inlineStr">
        <is>
          <t>(스캔본 없음)</t>
        </is>
      </c>
      <c r="C10" s="5" t="n"/>
      <c r="D10" s="5" t="inlineStr">
        <is>
          <t>-</t>
        </is>
      </c>
      <c r="E10" s="5" t="n"/>
      <c r="F10" s="5" t="n"/>
    </row>
    <row r="11" ht="32" customHeight="1">
      <c r="A11" s="4" t="inlineStr">
        <is>
          <t>1-7</t>
        </is>
      </c>
      <c r="B11" s="5" t="inlineStr">
        <is>
          <t>희망 학과(전공) 탐색하기</t>
        </is>
      </c>
      <c r="C11" s="5" t="inlineStr">
        <is>
          <t>2인 1조 학과 탐색</t>
        </is>
      </c>
      <c r="D11" s="5" t="inlineStr">
        <is>
          <t>20명: 11201, 11202, 11203, 11204, 11205, 11207, 11208, 11209, 11210, 11211, 11212, 11213, 11214, 11215, 11216, 11217, 11220, 11221, 11222, 11223</t>
        </is>
      </c>
      <c r="E11" s="5" t="n"/>
      <c r="F11" s="5" t="n"/>
    </row>
    <row r="12" ht="32" customHeight="1">
      <c r="A12" s="4" t="inlineStr">
        <is>
          <t>1-8</t>
        </is>
      </c>
      <c r="B12" s="5" t="inlineStr">
        <is>
          <t>나의 대학 진학 설계</t>
        </is>
      </c>
      <c r="C12" s="5" t="inlineStr">
        <is>
          <t>대입 전형 유형 분석</t>
        </is>
      </c>
      <c r="D12" s="5" t="inlineStr">
        <is>
          <t>21명: 11201, 11202, 11203, 11204, 11205, 11206, 11207, 11208, 11209, 11210, 11211, 11212, 11213, 11214, 11215, 11216, 11217, 11220, 11221, 11222, 11223</t>
        </is>
      </c>
      <c r="E12" s="5" t="n"/>
      <c r="F12" s="5" t="n"/>
    </row>
    <row r="13" ht="32" customHeight="1">
      <c r="A13" s="4" t="inlineStr">
        <is>
          <t>1학기 최종</t>
        </is>
      </c>
      <c r="B13" s="5" t="inlineStr">
        <is>
          <t>1학기 진로수업 마무리 활동지</t>
        </is>
      </c>
      <c r="C13" s="5" t="inlineStr">
        <is>
          <t>진로 점검, 과목 선택 설계</t>
        </is>
      </c>
      <c r="D13" s="5" t="inlineStr">
        <is>
          <t>21명: 11201, 11202, 11203, 11204, 11205, 11206, 11207, 11208, 11209, 11210, 11211, 11212, 11213, 11214, 11215, 11216, 11217, 11220, 11221, 11222, 11223</t>
        </is>
      </c>
      <c r="E13" s="5" t="n"/>
      <c r="F13" s="5" t="n"/>
    </row>
    <row r="14" ht="40" customHeight="1">
      <c r="A14" s="4" t="inlineStr">
        <is>
          <t>2-2</t>
        </is>
      </c>
      <c r="B14" s="5" t="inlineStr">
        <is>
          <t>나도 입학사정관(서울대 합격생 학생부 평가)</t>
        </is>
      </c>
      <c r="C14" s="5" t="inlineStr">
        <is>
          <t>서울대 아로리 합격생 학생부를 학업·진로·공동체역량으로 평가, 조별 예상 순위와 실제 결과 비교</t>
        </is>
      </c>
      <c r="D14" s="5" t="inlineStr">
        <is>
          <t>22명 / 미제출 1명: 11219</t>
        </is>
      </c>
      <c r="E14" s="5" t="n"/>
      <c r="F14" s="5" t="n"/>
    </row>
    <row r="15" ht="32" customHeight="1">
      <c r="A15" s="4" t="inlineStr">
        <is>
          <t>P-1</t>
        </is>
      </c>
      <c r="B15" s="5" t="inlineStr">
        <is>
          <t>진로 프로젝트 1차시: 3종 트랙 탐색·선택 및 8차시 개인 계획서</t>
        </is>
      </c>
      <c r="C15" s="5" t="inlineStr">
        <is>
          <t>주제탐구·진로독서·습관형성 3개 트랙 비교 후 1개 선택, 선택 트랙별 초기 아이디어 구상, 8차시 세부 계획 및 한 줄 다짐·자가 점검</t>
        </is>
      </c>
      <c r="D15" s="5" t="inlineStr">
        <is>
          <t>20장(22명 해당) / 미제출 3명: 11208·11212·11219</t>
        </is>
      </c>
      <c r="E15" s="5" t="n"/>
      <c r="F15" s="5" t="n"/>
    </row>
    <row r="16" ht="48" customHeight="1">
      <c r="A16" s="4" t="inlineStr">
        <is>
          <t>P-2</t>
        </is>
      </c>
      <c r="B16" s="5" t="inlineStr">
        <is>
          <t>진로 프로젝트 2차시: 트랙별 활동(주제탐구 탐구계획서 / 진로독서 도서 선정 / 습관형성 목표 세우기)</t>
        </is>
      </c>
      <c r="C16" s="5" t="inlineStr">
        <is>
          <t>주제탐구: 핵심·하위 질문과 자료원 / 진로독서: 선정 기준·후보 3권·최종 도서 / 습관형성: 자기 평가·장애물·SMART 목표·인증 방법</t>
        </is>
      </c>
      <c r="D16" s="5" t="inlineStr">
        <is>
          <t>20장(20명) / 미제출 3명: 11210·11219·11220</t>
        </is>
      </c>
      <c r="E16" s="5" t="n"/>
      <c r="F16" s="5" t="n"/>
    </row>
    <row r="17" ht="60" customHeight="1">
      <c r="A17" s="4" t="inlineStr">
        <is>
          <t>P-3</t>
        </is>
      </c>
      <c r="B17" s="5" t="inlineStr">
        <is>
          <t>진로 프로젝트 3차시: 트랙별 활동(주제탐구 자료 수집 / 진로독서 독서 전 활동 / 습관형성 1주차 습관 기록표)</t>
        </is>
      </c>
      <c r="C17" s="5" t="inlineStr">
        <is>
          <t>주제탐구: 자료 출처·핵심 내용 요약 5개·메모 / 진로독서: 표지 보고 예상, 궁금한 목차, 알고 싶은 것 / 습관형성: 주간 목표·인증 방법, 요일별 실천 기록, 실천 일수·소감</t>
        </is>
      </c>
      <c r="D17" s="5" t="inlineStr">
        <is>
          <t>22장(22명) / 미제출 1명: 11219</t>
        </is>
      </c>
      <c r="E17" s="9" t="n"/>
      <c r="F17" s="9" t="n"/>
    </row>
    <row r="19">
      <c r="A19" s="6" t="inlineStr">
        <is>
          <t>② 2-2 나도 입학사정관 조별 결과</t>
        </is>
      </c>
    </row>
    <row r="20" ht="36" customHeight="1">
      <c r="A20" s="3" t="inlineStr">
        <is>
          <t>학번</t>
        </is>
      </c>
      <c r="B20" s="3" t="inlineStr">
        <is>
          <t>이름</t>
        </is>
      </c>
      <c r="C20" s="3" t="inlineStr">
        <is>
          <t>평가 사례(년도·학과·조)</t>
        </is>
      </c>
      <c r="D20" s="3" t="inlineStr">
        <is>
          <t>조별 예상 → 결과</t>
        </is>
      </c>
      <c r="E20" s="3" t="inlineStr">
        <is>
          <t>근거(이유) 작성</t>
        </is>
      </c>
      <c r="F20" s="3" t="inlineStr">
        <is>
          <t>느낀 점 요약</t>
        </is>
      </c>
    </row>
    <row r="21" ht="36" customHeight="1">
      <c r="A21" s="4" t="inlineStr">
        <is>
          <t>11201</t>
        </is>
      </c>
      <c r="B21" s="5" t="inlineStr">
        <is>
          <t>김담희</t>
        </is>
      </c>
      <c r="C21" s="5" t="inlineStr">
        <is>
          <t>2025 공과대학 컴퓨터공학부(1조)</t>
        </is>
      </c>
      <c r="D21" s="5" t="inlineStr">
        <is>
          <t>B-C-A → C-A-B (불일치)</t>
        </is>
      </c>
      <c r="E21" s="5" t="inlineStr">
        <is>
          <t>2/3개 역량</t>
        </is>
      </c>
      <c r="F21" s="5" t="inlineStr">
        <is>
          <t>성적이 정말 큰 영향을 준다. 많은 활동을 해야겠다.</t>
        </is>
      </c>
    </row>
    <row r="22" ht="36" customHeight="1">
      <c r="A22" s="4" t="inlineStr">
        <is>
          <t>11202</t>
        </is>
      </c>
      <c r="B22" s="5" t="inlineStr">
        <is>
          <t>김도아</t>
        </is>
      </c>
      <c r="C22" s="5" t="inlineStr">
        <is>
          <t>2025 공과대학 컴퓨터공학부(1조)</t>
        </is>
      </c>
      <c r="D22" s="5" t="inlineStr">
        <is>
          <t>B-C-A → C-A-B (불일치)</t>
        </is>
      </c>
      <c r="E22" s="5" t="inlineStr">
        <is>
          <t>0/3개 역량</t>
        </is>
      </c>
      <c r="F22" s="5" t="inlineStr">
        <is>
          <t>성적이 영향을 많이 미친다는 걸 느꼈고, 스스로 학습하는 태도가 많이…</t>
        </is>
      </c>
    </row>
    <row r="23" ht="36" customHeight="1">
      <c r="A23" s="4" t="inlineStr">
        <is>
          <t>11203</t>
        </is>
      </c>
      <c r="B23" s="5" t="inlineStr">
        <is>
          <t>김서훈</t>
        </is>
      </c>
      <c r="C23" s="5" t="inlineStr">
        <is>
          <t>2024 사범대학 교육학과(5조)</t>
        </is>
      </c>
      <c r="D23" s="5" t="inlineStr">
        <is>
          <t>A-C-B → A-B-C (불일치)</t>
        </is>
      </c>
      <c r="E23" s="5" t="inlineStr">
        <is>
          <t>3/3개 역량</t>
        </is>
      </c>
      <c r="F23" s="5" t="inlineStr">
        <is>
          <t>입학사정관은 전체를 보는 걸 느꼈다. 성적만 보지 않고 다양한 것을 …</t>
        </is>
      </c>
    </row>
    <row r="24" ht="36" customHeight="1">
      <c r="A24" s="4" t="inlineStr">
        <is>
          <t>11204</t>
        </is>
      </c>
      <c r="B24" s="5" t="inlineStr">
        <is>
          <t>김지훈</t>
        </is>
      </c>
      <c r="C24" s="5" t="inlineStr">
        <is>
          <t>2025(학과 미기재)</t>
        </is>
      </c>
      <c r="D24" s="5" t="inlineStr">
        <is>
          <t>C-B-A → C-B-A (일치)</t>
        </is>
      </c>
      <c r="E24" s="5" t="inlineStr">
        <is>
          <t>1/3개 역량</t>
        </is>
      </c>
      <c r="F24" s="5" t="inlineStr">
        <is>
          <t>행복은 성적순.</t>
        </is>
      </c>
    </row>
    <row r="25" ht="36" customHeight="1">
      <c r="A25" s="4" t="inlineStr">
        <is>
          <t>11205</t>
        </is>
      </c>
      <c r="B25" s="5" t="inlineStr">
        <is>
          <t>김하윤</t>
        </is>
      </c>
      <c r="C25" s="5" t="inlineStr">
        <is>
          <t>2025 공과대학 컴퓨터공학부(1조)</t>
        </is>
      </c>
      <c r="D25" s="5" t="inlineStr">
        <is>
          <t>B-C-A → C-A-B (불일치)</t>
        </is>
      </c>
      <c r="E25" s="5" t="inlineStr">
        <is>
          <t>1/3개 역량</t>
        </is>
      </c>
      <c r="F25" s="5" t="inlineStr">
        <is>
          <t>성적이 이렇게 나올 수 있다는 것에 놀랐다.</t>
        </is>
      </c>
    </row>
    <row r="26" ht="36" customHeight="1">
      <c r="A26" s="4" t="inlineStr">
        <is>
          <t>11206</t>
        </is>
      </c>
      <c r="B26" s="5" t="inlineStr">
        <is>
          <t>박상욱</t>
        </is>
      </c>
      <c r="C26" s="5" t="inlineStr">
        <is>
          <t>2024 공과대학 조선해양공학과(4조)</t>
        </is>
      </c>
      <c r="D26" s="5" t="inlineStr">
        <is>
          <t>C-A-B → C-A-B (일치)</t>
        </is>
      </c>
      <c r="E26" s="5" t="inlineStr">
        <is>
          <t>0/3개 역량</t>
        </is>
      </c>
      <c r="F26" s="5" t="inlineStr">
        <is>
          <t>성적을 보고 성취도·역량을 보는 대학교 면접관(시험)으로 눈에 띄는 …</t>
        </is>
      </c>
    </row>
    <row r="27" ht="36" customHeight="1">
      <c r="A27" s="4" t="inlineStr">
        <is>
          <t>11207</t>
        </is>
      </c>
      <c r="B27" s="5" t="inlineStr">
        <is>
          <t>박소은</t>
        </is>
      </c>
      <c r="C27" s="5" t="inlineStr">
        <is>
          <t>2024 공과대학 조선해양공학과(4조)</t>
        </is>
      </c>
      <c r="D27" s="5" t="inlineStr">
        <is>
          <t>C-A-B → 미기재</t>
        </is>
      </c>
      <c r="E27" s="5" t="inlineStr">
        <is>
          <t>3/3개 역량</t>
        </is>
      </c>
      <c r="F27" s="5" t="inlineStr">
        <is>
          <t>입학사정관이 되어 생기부·자소서를 평가해볼 수 있어서 신기했습니다. …</t>
        </is>
      </c>
    </row>
    <row r="28" ht="36" customHeight="1">
      <c r="A28" s="4" t="inlineStr">
        <is>
          <t>11208</t>
        </is>
      </c>
      <c r="B28" s="5" t="inlineStr">
        <is>
          <t>방채원</t>
        </is>
      </c>
      <c r="C28" s="5" t="inlineStr">
        <is>
          <t>2025 공과대학 컴퓨터공학부(1조)</t>
        </is>
      </c>
      <c r="D28" s="5" t="inlineStr">
        <is>
          <t>B-C-A → C-A-B (불일치)</t>
        </is>
      </c>
      <c r="E28" s="5" t="inlineStr">
        <is>
          <t>3/3개 역량</t>
        </is>
      </c>
      <c r="F28" s="5" t="inlineStr">
        <is>
          <t>성적 높은 게 꽤 크다.</t>
        </is>
      </c>
    </row>
    <row r="29" ht="36" customHeight="1">
      <c r="A29" s="4" t="inlineStr">
        <is>
          <t>11209</t>
        </is>
      </c>
      <c r="B29" s="5" t="inlineStr">
        <is>
          <t>백주호</t>
        </is>
      </c>
      <c r="C29" s="5" t="inlineStr">
        <is>
          <t>2025 농업생명과학대학 스마트시스템과학과(2조)</t>
        </is>
      </c>
      <c r="D29" s="5" t="inlineStr">
        <is>
          <t>A-C-B → A-C-B (일치)</t>
        </is>
      </c>
      <c r="E29" s="5" t="inlineStr">
        <is>
          <t>3/3개 역량</t>
        </is>
      </c>
      <c r="F29" s="5" t="inlineStr">
        <is>
          <t>각기 다른 사람들의 생기부를 살펴보니 학과마다 다른 생기부 내용이 있…</t>
        </is>
      </c>
    </row>
    <row r="30" ht="36" customHeight="1">
      <c r="A30" s="4" t="inlineStr">
        <is>
          <t>11210</t>
        </is>
      </c>
      <c r="B30" s="5" t="inlineStr">
        <is>
          <t>변준기</t>
        </is>
      </c>
      <c r="C30" s="5" t="inlineStr">
        <is>
          <t>2024 첨단융합학부(6조)</t>
        </is>
      </c>
      <c r="D30" s="5" t="inlineStr">
        <is>
          <t>A-B-C → A-C-B (불일치)</t>
        </is>
      </c>
      <c r="E30" s="5" t="inlineStr">
        <is>
          <t>2/3개 역량</t>
        </is>
      </c>
      <c r="F30" s="5" t="inlineStr">
        <is>
          <t>서울대는 못 가겠다.</t>
        </is>
      </c>
    </row>
    <row r="31" ht="36" customHeight="1">
      <c r="A31" s="4" t="inlineStr">
        <is>
          <t>11211</t>
        </is>
      </c>
      <c r="B31" s="5" t="inlineStr">
        <is>
          <t>손지훈</t>
        </is>
      </c>
      <c r="C31" s="5" t="inlineStr">
        <is>
          <t>2025 농업생명과학대학 스마트시스템과학과(2조)</t>
        </is>
      </c>
      <c r="D31" s="5" t="inlineStr">
        <is>
          <t>C-B-A → C-B-A (일치)</t>
        </is>
      </c>
      <c r="E31" s="5" t="inlineStr">
        <is>
          <t>3/3개 역량</t>
        </is>
      </c>
      <c r="F31" s="5" t="inlineStr">
        <is>
          <t>세상은 성적순 같다.</t>
        </is>
      </c>
    </row>
    <row r="32" ht="36" customHeight="1">
      <c r="A32" s="4" t="inlineStr">
        <is>
          <t>11212</t>
        </is>
      </c>
      <c r="B32" s="5" t="inlineStr">
        <is>
          <t>심민주</t>
        </is>
      </c>
      <c r="C32" s="5" t="inlineStr">
        <is>
          <t>2025 소비자학전공(3조)</t>
        </is>
      </c>
      <c r="D32" s="5" t="inlineStr">
        <is>
          <t>B-C-A → B-C-A (일치)</t>
        </is>
      </c>
      <c r="E32" s="5" t="inlineStr">
        <is>
          <t>3/3개 역량</t>
        </is>
      </c>
      <c r="F32" s="5" t="inlineStr">
        <is>
          <t>성적뿐만 아니라 각 학생의 역량 또한 중요하다는 것을 깨달았다. 선택…</t>
        </is>
      </c>
    </row>
    <row r="33" ht="36" customHeight="1">
      <c r="A33" s="4" t="inlineStr">
        <is>
          <t>11213</t>
        </is>
      </c>
      <c r="B33" s="5" t="inlineStr">
        <is>
          <t>안정연</t>
        </is>
      </c>
      <c r="C33" s="5" t="inlineStr">
        <is>
          <t>미기재</t>
        </is>
      </c>
      <c r="D33" s="5" t="inlineStr">
        <is>
          <t>미기재 → 미기재</t>
        </is>
      </c>
      <c r="E33" s="5" t="inlineStr">
        <is>
          <t>0/3개 역량</t>
        </is>
      </c>
      <c r="F33" s="5" t="inlineStr">
        <is>
          <t>생각보다 애매한 생기부와 좋은 생기부가 잘 보였다.</t>
        </is>
      </c>
    </row>
    <row r="34" ht="36" customHeight="1">
      <c r="A34" s="4" t="inlineStr">
        <is>
          <t>11214</t>
        </is>
      </c>
      <c r="B34" s="5" t="inlineStr">
        <is>
          <t>엄태훈</t>
        </is>
      </c>
      <c r="C34" s="5" t="inlineStr">
        <is>
          <t>2024 첨단융합학부(6조)</t>
        </is>
      </c>
      <c r="D34" s="5" t="inlineStr">
        <is>
          <t>A-B-C → A-C-B (불일치)</t>
        </is>
      </c>
      <c r="E34" s="5" t="inlineStr">
        <is>
          <t>3/3개 역량</t>
        </is>
      </c>
      <c r="F34" s="5" t="inlineStr">
        <is>
          <t>서울대 가고 싶다.</t>
        </is>
      </c>
    </row>
    <row r="35" ht="36" customHeight="1">
      <c r="A35" s="4" t="inlineStr">
        <is>
          <t>11215</t>
        </is>
      </c>
      <c r="B35" s="5" t="inlineStr">
        <is>
          <t>윤도영</t>
        </is>
      </c>
      <c r="C35" s="5" t="inlineStr">
        <is>
          <t>2024 첨단융합학부(6조)</t>
        </is>
      </c>
      <c r="D35" s="5" t="inlineStr">
        <is>
          <t>A-B-C → A-C-B (불일치)</t>
        </is>
      </c>
      <c r="E35" s="5" t="inlineStr">
        <is>
          <t>2/3개 역량</t>
        </is>
      </c>
      <c r="F35" s="5" t="inlineStr">
        <is>
          <t>서울대는 보법부터가 다르다는 걸 느꼈다.</t>
        </is>
      </c>
    </row>
    <row r="36" ht="36" customHeight="1">
      <c r="A36" s="4" t="inlineStr">
        <is>
          <t>11216</t>
        </is>
      </c>
      <c r="B36" s="5" t="inlineStr">
        <is>
          <t>이봉희</t>
        </is>
      </c>
      <c r="C36" s="5" t="inlineStr">
        <is>
          <t>2024 사범대학 교육학과(5조)</t>
        </is>
      </c>
      <c r="D36" s="5" t="inlineStr">
        <is>
          <t>A-C-B → A-B-C (불일치)</t>
        </is>
      </c>
      <c r="E36" s="5" t="inlineStr">
        <is>
          <t>3/3개 역량</t>
        </is>
      </c>
      <c r="F36" s="5" t="inlineStr">
        <is>
          <t>직접 평가해 보고 다른 사람들은 생기부를 어떻게 관리하는지 읽어 보면…</t>
        </is>
      </c>
    </row>
    <row r="37" ht="36" customHeight="1">
      <c r="A37" s="4" t="inlineStr">
        <is>
          <t>11217</t>
        </is>
      </c>
      <c r="B37" s="5" t="inlineStr">
        <is>
          <t>이우주</t>
        </is>
      </c>
      <c r="C37" s="5" t="inlineStr">
        <is>
          <t>2024 첨단융합학부(6조)</t>
        </is>
      </c>
      <c r="D37" s="5" t="inlineStr">
        <is>
          <t>A-B-C → A-C-B (불일치)</t>
        </is>
      </c>
      <c r="E37" s="5" t="inlineStr">
        <is>
          <t>3/3개 역량</t>
        </is>
      </c>
      <c r="F37" s="5" t="inlineStr">
        <is>
          <t>서울대 가는 사람들은 역시 생기부가 남달랐다. 나도 노력해야겠다.</t>
        </is>
      </c>
    </row>
    <row r="38" ht="24" customHeight="1">
      <c r="A38" s="4" t="inlineStr">
        <is>
          <t>11218</t>
        </is>
      </c>
      <c r="B38" s="5" t="inlineStr">
        <is>
          <t>이름확인필요</t>
        </is>
      </c>
      <c r="C38" s="5" t="inlineStr">
        <is>
          <t>2025 소비자학전공(3조)</t>
        </is>
      </c>
      <c r="D38" s="5" t="inlineStr">
        <is>
          <t>미기재 → 미기재</t>
        </is>
      </c>
      <c r="E38" s="5" t="inlineStr">
        <is>
          <t>0/3개 역량</t>
        </is>
      </c>
      <c r="F38" s="5" t="inlineStr">
        <is>
          <t>미기재</t>
        </is>
      </c>
    </row>
    <row r="39" ht="36" customHeight="1">
      <c r="A39" s="7" t="inlineStr">
        <is>
          <t>11219</t>
        </is>
      </c>
      <c r="B39" s="8" t="inlineStr">
        <is>
          <t>정은혜</t>
        </is>
      </c>
      <c r="C39" s="8" t="inlineStr">
        <is>
          <t>활동지 없음</t>
        </is>
      </c>
      <c r="D39" s="8" t="n"/>
      <c r="E39" s="8" t="n"/>
      <c r="F39" s="8" t="inlineStr">
        <is>
          <t>결석·미제출 확인</t>
        </is>
      </c>
    </row>
    <row r="40" ht="36" customHeight="1">
      <c r="A40" s="4" t="inlineStr">
        <is>
          <t>11220</t>
        </is>
      </c>
      <c r="B40" s="5" t="inlineStr">
        <is>
          <t>최나은</t>
        </is>
      </c>
      <c r="C40" s="5" t="inlineStr">
        <is>
          <t>2025 소비자학전공(3조)</t>
        </is>
      </c>
      <c r="D40" s="5" t="inlineStr">
        <is>
          <t>B-C-A → B-C-A (일치)</t>
        </is>
      </c>
      <c r="E40" s="5" t="inlineStr">
        <is>
          <t>3/3개 역량</t>
        </is>
      </c>
      <c r="F40" s="5" t="inlineStr">
        <is>
          <t>전체적인 성적이 좋은 것에 더불어 진로와 맞는 선택과목 선택과 생기부…</t>
        </is>
      </c>
    </row>
    <row r="41" ht="36" customHeight="1">
      <c r="A41" s="4" t="inlineStr">
        <is>
          <t>11221</t>
        </is>
      </c>
      <c r="B41" s="5" t="inlineStr">
        <is>
          <t>타이압</t>
        </is>
      </c>
      <c r="C41" s="5" t="inlineStr">
        <is>
          <t>2024 사범대학 교육학과(5조)</t>
        </is>
      </c>
      <c r="D41" s="5" t="inlineStr">
        <is>
          <t>A-C-B → A-B-C(고쳐 씀) (불일치)</t>
        </is>
      </c>
      <c r="E41" s="5" t="inlineStr">
        <is>
          <t>3/3개 역량</t>
        </is>
      </c>
      <c r="F41" s="5" t="inlineStr">
        <is>
          <t>입학사정관은 정말 쉬운 일이 아니라고 생각한다.</t>
        </is>
      </c>
    </row>
    <row r="42" ht="36" customHeight="1">
      <c r="A42" s="4" t="inlineStr">
        <is>
          <t>11222</t>
        </is>
      </c>
      <c r="B42" s="5" t="inlineStr">
        <is>
          <t>허윤주</t>
        </is>
      </c>
      <c r="C42" s="5" t="inlineStr">
        <is>
          <t>2024 사범대학 교육학과(5조)</t>
        </is>
      </c>
      <c r="D42" s="5" t="inlineStr">
        <is>
          <t>A-C-B → A-B-C (불일치)</t>
        </is>
      </c>
      <c r="E42" s="5" t="inlineStr">
        <is>
          <t>1/3개 역량</t>
        </is>
      </c>
      <c r="F42" s="5" t="inlineStr">
        <is>
          <t>새로웠다.</t>
        </is>
      </c>
    </row>
    <row r="43">
      <c r="A43" s="4" t="inlineStr">
        <is>
          <t>11223</t>
        </is>
      </c>
      <c r="B43" s="5" t="inlineStr">
        <is>
          <t>홍의찬</t>
        </is>
      </c>
      <c r="C43" s="5" t="inlineStr">
        <is>
          <t>2025 농업생명과학대학 스마트시스템과학과(2조)</t>
        </is>
      </c>
      <c r="D43" s="5" t="inlineStr">
        <is>
          <t>C-B-A → A-C-B(고쳐 씀) (불일치)</t>
        </is>
      </c>
      <c r="E43" s="5" t="inlineStr">
        <is>
          <t>3/3개 역량</t>
        </is>
      </c>
      <c r="F43" s="5" t="inlineStr">
        <is>
          <t>생각보다 어렵다.</t>
        </is>
      </c>
    </row>
    <row r="45">
      <c r="A45" s="6" t="inlineStr">
        <is>
          <t>③ P-1 진로 프로젝트 트랙 선택 현황</t>
        </is>
      </c>
    </row>
    <row r="46" ht="40" customHeight="1">
      <c r="A46" s="3" t="inlineStr">
        <is>
          <t>학번</t>
        </is>
      </c>
      <c r="B46" s="3" t="inlineStr">
        <is>
          <t>이름</t>
        </is>
      </c>
      <c r="C46" s="3" t="inlineStr">
        <is>
          <t>선택 트랙</t>
        </is>
      </c>
      <c r="D46" s="3" t="inlineStr">
        <is>
          <t>관심 분야 / 잠정 주제</t>
        </is>
      </c>
      <c r="E46" s="3" t="inlineStr">
        <is>
          <t>8차시 계획</t>
        </is>
      </c>
      <c r="F46" s="3" t="inlineStr">
        <is>
          <t>확인 필요</t>
        </is>
      </c>
    </row>
    <row r="47" ht="40" customHeight="1">
      <c r="A47" s="4" t="inlineStr">
        <is>
          <t>11201</t>
        </is>
      </c>
      <c r="B47" s="5" t="inlineStr">
        <is>
          <t>김담희</t>
        </is>
      </c>
      <c r="C47" s="5" t="inlineStr">
        <is>
          <t>① 주제탐구(진로연계형)</t>
        </is>
      </c>
      <c r="D47" s="5" t="inlineStr">
        <is>
          <t>유치원 교사 관련(주제 미정)</t>
        </is>
      </c>
      <c r="E47" s="5" t="inlineStr">
        <is>
          <t>미작성</t>
        </is>
      </c>
      <c r="F47" s="5" t="inlineStr">
        <is>
          <t>그렇게 생각한 이유·잠정 주제·주제 선택 이유·8차시 계획·다짐·자가 점검 미기재</t>
        </is>
      </c>
    </row>
    <row r="48" ht="40" customHeight="1">
      <c r="A48" s="4" t="inlineStr">
        <is>
          <t>11202</t>
        </is>
      </c>
      <c r="B48" s="5" t="inlineStr">
        <is>
          <t>김도아</t>
        </is>
      </c>
      <c r="C48" s="5" t="inlineStr">
        <is>
          <t>① 주제탐구(관심사 탐구형)</t>
        </is>
      </c>
      <c r="D48" s="5" t="inlineStr">
        <is>
          <t>화학·생명과학·방사선학의 연관성과 생활 속 활용</t>
        </is>
      </c>
      <c r="E48" s="5" t="inlineStr">
        <is>
          <t>미작성</t>
        </is>
      </c>
      <c r="F48" s="5" t="inlineStr">
        <is>
          <t>잠정 주제·주제 선택 이유·8차시 계획·다짐 미기재</t>
        </is>
      </c>
    </row>
    <row r="49" ht="40" customHeight="1">
      <c r="A49" s="4" t="inlineStr">
        <is>
          <t>11203</t>
        </is>
      </c>
      <c r="B49" s="5" t="inlineStr">
        <is>
          <t>김서훈</t>
        </is>
      </c>
      <c r="C49" s="5" t="inlineStr">
        <is>
          <t>① 주제탐구</t>
        </is>
      </c>
      <c r="D49" s="5" t="inlineStr">
        <is>
          <t>배운 수학이 일상생활에 미치는 영향</t>
        </is>
      </c>
      <c r="E49" s="5" t="inlineStr">
        <is>
          <t>작성(구체적)</t>
        </is>
      </c>
      <c r="F49" s="5" t="inlineStr">
        <is>
          <t>탐구 유형(①/②) 미체크</t>
        </is>
      </c>
    </row>
    <row r="50" ht="40" customHeight="1">
      <c r="A50" s="4" t="inlineStr">
        <is>
          <t>11204</t>
        </is>
      </c>
      <c r="B50" s="5" t="inlineStr">
        <is>
          <t>김지훈</t>
        </is>
      </c>
      <c r="C50" s="5" t="inlineStr">
        <is>
          <t>① 주제탐구(동그라미 표시만)</t>
        </is>
      </c>
      <c r="D50" s="5" t="inlineStr">
        <is>
          <t>(미기재)</t>
        </is>
      </c>
      <c r="E50" s="5" t="inlineStr">
        <is>
          <t>미작성</t>
        </is>
      </c>
      <c r="F50" s="5" t="inlineStr">
        <is>
          <t>최종 트랙 체크·선택 이유·관심 분야·잠정 주제·8차시 계획·다짐 전체 미기재</t>
        </is>
      </c>
    </row>
    <row r="51" ht="40" customHeight="1">
      <c r="A51" s="4" t="inlineStr">
        <is>
          <t>11205</t>
        </is>
      </c>
      <c r="B51" s="5" t="inlineStr">
        <is>
          <t>김하윤</t>
        </is>
      </c>
      <c r="C51" s="5" t="inlineStr">
        <is>
          <t>③ 습관형성</t>
        </is>
      </c>
      <c r="D51" s="5" t="inlineStr">
        <is>
          <t>헤어 디자이너처럼 매일 미용 연습하는 습관</t>
        </is>
      </c>
      <c r="E51" s="5" t="inlineStr">
        <is>
          <t>미작성</t>
        </is>
      </c>
      <c r="F51" s="5" t="inlineStr">
        <is>
          <t>8차시 계획·다짐·자가 점검 미기재</t>
        </is>
      </c>
    </row>
    <row r="52" ht="40" customHeight="1">
      <c r="A52" s="4" t="inlineStr">
        <is>
          <t>11206</t>
        </is>
      </c>
      <c r="B52" s="5" t="inlineStr">
        <is>
          <t>박상욱</t>
        </is>
      </c>
      <c r="C52" s="5" t="inlineStr">
        <is>
          <t>① 주제탐구</t>
        </is>
      </c>
      <c r="D52" s="5" t="inlineStr">
        <is>
          <t>(미기재)</t>
        </is>
      </c>
      <c r="E52" s="5" t="inlineStr">
        <is>
          <t>미작성</t>
        </is>
      </c>
      <c r="F52" s="5" t="inlineStr">
        <is>
          <t>선택 이유·관심 분야·잠정 주제·8차시 계획·다짐 미기재</t>
        </is>
      </c>
    </row>
    <row r="53" ht="24" customHeight="1">
      <c r="A53" s="4" t="inlineStr">
        <is>
          <t>11207</t>
        </is>
      </c>
      <c r="B53" s="5" t="inlineStr">
        <is>
          <t>박소은</t>
        </is>
      </c>
      <c r="C53" s="5" t="inlineStr">
        <is>
          <t>② 진로독서</t>
        </is>
      </c>
      <c r="D53" s="5" t="inlineStr">
        <is>
          <t>출판사 편집부 업무 — 『출판 편집 실무노트』</t>
        </is>
      </c>
      <c r="E53" s="5" t="inlineStr">
        <is>
          <t>작성(구체적)</t>
        </is>
      </c>
      <c r="F53" s="5" t="n"/>
    </row>
    <row r="54" ht="40" customHeight="1">
      <c r="A54" s="7" t="inlineStr">
        <is>
          <t>11208</t>
        </is>
      </c>
      <c r="B54" s="8" t="inlineStr">
        <is>
          <t>방채원</t>
        </is>
      </c>
      <c r="C54" s="8" t="inlineStr">
        <is>
          <t>활동지 없음</t>
        </is>
      </c>
      <c r="D54" s="8" t="n"/>
      <c r="E54" s="8" t="n"/>
      <c r="F54" s="8" t="inlineStr">
        <is>
          <t>결석·미제출 확인</t>
        </is>
      </c>
    </row>
    <row r="55" ht="40" customHeight="1">
      <c r="A55" s="4" t="inlineStr">
        <is>
          <t>11209</t>
        </is>
      </c>
      <c r="B55" s="5" t="inlineStr">
        <is>
          <t>백주호</t>
        </is>
      </c>
      <c r="C55" s="5" t="inlineStr">
        <is>
          <t>① 주제탐구</t>
        </is>
      </c>
      <c r="D55" s="5" t="inlineStr">
        <is>
          <t>운동(달리기) 관련 탐구 — 주제 문장 판독 어려움</t>
        </is>
      </c>
      <c r="E55" s="5" t="inlineStr">
        <is>
          <t>작성(간략)</t>
        </is>
      </c>
      <c r="F55" s="5" t="inlineStr">
        <is>
          <t>잠정 주제·관심 분야 ①·5차시 계획 판독 어려움(원본 확인 필요) / 주제 선택 이유·다짐·자가 점검 …</t>
        </is>
      </c>
    </row>
    <row r="56" ht="40" customHeight="1">
      <c r="A56" s="4" t="inlineStr">
        <is>
          <t>11210</t>
        </is>
      </c>
      <c r="B56" s="5" t="inlineStr">
        <is>
          <t>변준기</t>
        </is>
      </c>
      <c r="C56" s="5" t="inlineStr">
        <is>
          <t>① 주제탐구(진로연계형)</t>
        </is>
      </c>
      <c r="D56" s="5" t="inlineStr">
        <is>
          <t>시대에 따른 음악 스타일의 변화</t>
        </is>
      </c>
      <c r="E56" s="5" t="inlineStr">
        <is>
          <t>미작성</t>
        </is>
      </c>
      <c r="F56" s="5" t="inlineStr">
        <is>
          <t>8차시 세부 계획·자가 점검 미기재</t>
        </is>
      </c>
    </row>
    <row r="57" ht="24" customHeight="1">
      <c r="A57" s="4" t="inlineStr">
        <is>
          <t>11211</t>
        </is>
      </c>
      <c r="B57" s="5" t="inlineStr">
        <is>
          <t>손지훈</t>
        </is>
      </c>
      <c r="C57" s="5" t="inlineStr">
        <is>
          <t>① 주제탐구(체크 흐림)</t>
        </is>
      </c>
      <c r="D57" s="5" t="inlineStr">
        <is>
          <t>조리 관련 직업 전망·필요 역량(일부 판독 어려움)</t>
        </is>
      </c>
      <c r="E57" s="5" t="inlineStr">
        <is>
          <t>작성(간략)</t>
        </is>
      </c>
      <c r="F57" s="5" t="inlineStr">
        <is>
          <t>관심 분야 ①·③, 잠정 주제 일부, 다짐 판독 어려움(원본 확인 필요) / 7차시 계획·자가 점검 미기재</t>
        </is>
      </c>
    </row>
    <row r="58" ht="40" customHeight="1">
      <c r="A58" s="7" t="inlineStr">
        <is>
          <t>11212</t>
        </is>
      </c>
      <c r="B58" s="8" t="inlineStr">
        <is>
          <t>심민주</t>
        </is>
      </c>
      <c r="C58" s="8" t="inlineStr">
        <is>
          <t>활동지 없음</t>
        </is>
      </c>
      <c r="D58" s="8" t="n"/>
      <c r="E58" s="8" t="n"/>
      <c r="F58" s="8" t="inlineStr">
        <is>
          <t>결석·미제출 확인</t>
        </is>
      </c>
    </row>
    <row r="59" ht="40" customHeight="1">
      <c r="A59" s="4" t="inlineStr">
        <is>
          <t>11213</t>
        </is>
      </c>
      <c r="B59" s="5" t="inlineStr">
        <is>
          <t>안정연</t>
        </is>
      </c>
      <c r="C59" s="5" t="inlineStr">
        <is>
          <t>③ 습관형성</t>
        </is>
      </c>
      <c r="D59" s="5" t="inlineStr">
        <is>
          <t>(미기재)</t>
        </is>
      </c>
      <c r="E59" s="5" t="inlineStr">
        <is>
          <t>미작성</t>
        </is>
      </c>
      <c r="F59" s="5" t="inlineStr">
        <is>
          <t>선택 이유·습관형성 작성란·8차시 계획·다짐 전체 미기재</t>
        </is>
      </c>
    </row>
    <row r="60" ht="40" customHeight="1">
      <c r="A60" s="4" t="inlineStr">
        <is>
          <t>11214</t>
        </is>
      </c>
      <c r="B60" s="5" t="inlineStr">
        <is>
          <t>엄태훈</t>
        </is>
      </c>
      <c r="C60" s="5" t="inlineStr">
        <is>
          <t>① 주제탐구</t>
        </is>
      </c>
      <c r="D60" s="5" t="inlineStr">
        <is>
          <t>연도별·가구별 반려동물 수(윤도영과 공동)</t>
        </is>
      </c>
      <c r="E60" s="5" t="inlineStr">
        <is>
          <t>미작성</t>
        </is>
      </c>
      <c r="F60" s="5" t="inlineStr">
        <is>
          <t>8차시 세부 계획·자가 점검 미기재</t>
        </is>
      </c>
    </row>
    <row r="61" ht="40" customHeight="1">
      <c r="A61" s="4" t="inlineStr">
        <is>
          <t>11215</t>
        </is>
      </c>
      <c r="B61" s="5" t="inlineStr">
        <is>
          <t>윤도영</t>
        </is>
      </c>
      <c r="C61" s="5" t="inlineStr">
        <is>
          <t>① 주제탐구</t>
        </is>
      </c>
      <c r="D61" s="5" t="inlineStr">
        <is>
          <t>방송 계열이 유튜브 시장에 미치는 영향(엄태훈과 공동)</t>
        </is>
      </c>
      <c r="E61" s="5" t="inlineStr">
        <is>
          <t>미작성</t>
        </is>
      </c>
      <c r="F61" s="5" t="inlineStr">
        <is>
          <t>8차시 세부 계획·다짐·자가 점검 미기재</t>
        </is>
      </c>
    </row>
    <row r="62" ht="40" customHeight="1">
      <c r="A62" s="4" t="inlineStr">
        <is>
          <t>11216</t>
        </is>
      </c>
      <c r="B62" s="5" t="inlineStr">
        <is>
          <t>이봉희</t>
        </is>
      </c>
      <c r="C62" s="5" t="inlineStr">
        <is>
          <t>① 주제탐구</t>
        </is>
      </c>
      <c r="D62" s="5" t="inlineStr">
        <is>
          <t>마약 범죄 증가와 이를 예방·검거하는 경찰의 역할</t>
        </is>
      </c>
      <c r="E62" s="5" t="inlineStr">
        <is>
          <t>작성(구체적)</t>
        </is>
      </c>
      <c r="F62" s="5" t="n"/>
    </row>
    <row r="63" ht="40" customHeight="1">
      <c r="A63" s="4" t="inlineStr">
        <is>
          <t>11217</t>
        </is>
      </c>
      <c r="B63" s="5" t="inlineStr">
        <is>
          <t>이우주</t>
        </is>
      </c>
      <c r="C63" s="5" t="inlineStr">
        <is>
          <t>① 주제탐구</t>
        </is>
      </c>
      <c r="D63" s="5" t="inlineStr">
        <is>
          <t>중력에 따른 시간 지연 / 사물·색 인식 과정(후보 2개)</t>
        </is>
      </c>
      <c r="E63" s="5" t="inlineStr">
        <is>
          <t>작성(구체적)</t>
        </is>
      </c>
      <c r="F63" s="5" t="inlineStr">
        <is>
          <t>한 줄 다짐·자가 점검 미기재</t>
        </is>
      </c>
    </row>
    <row r="64" ht="24" customHeight="1">
      <c r="A64" s="4" t="inlineStr">
        <is>
          <t>11218</t>
        </is>
      </c>
      <c r="B64" s="5" t="inlineStr">
        <is>
          <t>이름확인필요</t>
        </is>
      </c>
      <c r="C64" s="5" t="inlineStr">
        <is>
          <t>② 진로독서</t>
        </is>
      </c>
      <c r="D64" s="5" t="inlineStr">
        <is>
          <t>다양한 직업의 특징(도서 미정)</t>
        </is>
      </c>
      <c r="E64" s="5" t="inlineStr">
        <is>
          <t>미작성</t>
        </is>
      </c>
      <c r="F64" s="5" t="inlineStr">
        <is>
          <t>이름 판독 어려움 / 후보 도서·8차시 계획·다짐·자가 점검 미기재</t>
        </is>
      </c>
    </row>
    <row r="65" ht="40" customHeight="1">
      <c r="A65" s="7" t="inlineStr">
        <is>
          <t>11219</t>
        </is>
      </c>
      <c r="B65" s="8" t="inlineStr">
        <is>
          <t>정은혜</t>
        </is>
      </c>
      <c r="C65" s="8" t="inlineStr">
        <is>
          <t>활동지 없음</t>
        </is>
      </c>
      <c r="D65" s="8" t="n"/>
      <c r="E65" s="8" t="n"/>
      <c r="F65" s="8" t="inlineStr">
        <is>
          <t>결석·미제출 확인</t>
        </is>
      </c>
    </row>
    <row r="66" ht="40" customHeight="1">
      <c r="A66" s="4" t="inlineStr">
        <is>
          <t>11220</t>
        </is>
      </c>
      <c r="B66" s="5" t="inlineStr">
        <is>
          <t>최나은</t>
        </is>
      </c>
      <c r="C66" s="5" t="inlineStr">
        <is>
          <t>③ 습관형성(주제탐구 칸도 작성)</t>
        </is>
      </c>
      <c r="D66" s="5" t="inlineStr">
        <is>
          <t>경제 뉴스 읽는 습관 + 세계 경제 이슈의 사회·경제적 영향</t>
        </is>
      </c>
      <c r="E66" s="5" t="inlineStr">
        <is>
          <t>작성(구체적)</t>
        </is>
      </c>
      <c r="F66" s="5" t="inlineStr">
        <is>
          <t>'닮고 싶은 사람' 이름 판독 어려움</t>
        </is>
      </c>
    </row>
    <row r="67" ht="40" customHeight="1">
      <c r="A67" s="4" t="inlineStr">
        <is>
          <t>11221</t>
        </is>
      </c>
      <c r="B67" s="5" t="inlineStr">
        <is>
          <t>타이압</t>
        </is>
      </c>
      <c r="C67" s="5" t="inlineStr">
        <is>
          <t>① 주제탐구(진로연계형)</t>
        </is>
      </c>
      <c r="D67" s="5" t="inlineStr">
        <is>
          <t>경영·무역·AI(주제 미정, 홍의찬과 공동)</t>
        </is>
      </c>
      <c r="E67" s="5" t="inlineStr">
        <is>
          <t>미작성</t>
        </is>
      </c>
      <c r="F67" s="5" t="inlineStr">
        <is>
          <t>잠정 주제·주제 선택 이유·8차시 계획·다짐 미기재</t>
        </is>
      </c>
    </row>
    <row r="68" ht="40" customHeight="1">
      <c r="A68" s="4" t="inlineStr">
        <is>
          <t>11222</t>
        </is>
      </c>
      <c r="B68" s="5" t="inlineStr">
        <is>
          <t>허윤주</t>
        </is>
      </c>
      <c r="C68" s="5" t="inlineStr">
        <is>
          <t>① 주제탐구</t>
        </is>
      </c>
      <c r="D68" s="5" t="inlineStr">
        <is>
          <t>AI 시대 헤어 디자이너의 역할과 영향</t>
        </is>
      </c>
      <c r="E68" s="5" t="inlineStr">
        <is>
          <t>작성</t>
        </is>
      </c>
      <c r="F68" s="5" t="n"/>
    </row>
    <row r="69">
      <c r="A69" s="4" t="inlineStr">
        <is>
          <t>11223</t>
        </is>
      </c>
      <c r="B69" s="5" t="inlineStr">
        <is>
          <t>홍의찬</t>
        </is>
      </c>
      <c r="C69" s="5" t="inlineStr">
        <is>
          <t>(트랙 미체크 — 주제탐구 작성란 작성)</t>
        </is>
      </c>
      <c r="D69" s="5" t="inlineStr">
        <is>
          <t>경영(주제 미정, 타이압과 공동)</t>
        </is>
      </c>
      <c r="E69" s="5" t="inlineStr">
        <is>
          <t>미작성</t>
        </is>
      </c>
      <c r="F69" s="5" t="inlineStr">
        <is>
          <t>최종 트랙 체크 누락 / 선택 이유·생각한 이유 일부 판독 어려움 / 잠정 주제·8차시 계획·다짐 미기재</t>
        </is>
      </c>
    </row>
    <row r="71">
      <c r="A71" s="6" t="inlineStr">
        <is>
          <t>④ P-2 진로 프로젝트 2차시 현황</t>
        </is>
      </c>
    </row>
    <row r="72" ht="40" customHeight="1">
      <c r="A72" s="3" t="inlineStr">
        <is>
          <t>학번</t>
        </is>
      </c>
      <c r="B72" s="3" t="inlineStr">
        <is>
          <t>이름</t>
        </is>
      </c>
      <c r="C72" s="3" t="inlineStr">
        <is>
          <t>2차시 활동(트랙)</t>
        </is>
      </c>
      <c r="D72" s="3" t="inlineStr">
        <is>
          <t>핵심 질문 / 선정 도서 / 습관 목표</t>
        </is>
      </c>
      <c r="E72" s="3" t="inlineStr">
        <is>
          <t>작성 수준</t>
        </is>
      </c>
      <c r="F72" s="3" t="inlineStr">
        <is>
          <t>확인 필요</t>
        </is>
      </c>
    </row>
    <row r="73" ht="40" customHeight="1">
      <c r="A73" s="4" t="inlineStr">
        <is>
          <t>11201</t>
        </is>
      </c>
      <c r="B73" s="5" t="inlineStr">
        <is>
          <t>김담희</t>
        </is>
      </c>
      <c r="C73" s="5" t="inlineStr">
        <is>
          <t>① 주제탐구(탐구계획서)</t>
        </is>
      </c>
      <c r="D73" s="5" t="inlineStr">
        <is>
          <t>유치원 교사의 역할과 유아 발달에 미치는 영향</t>
        </is>
      </c>
      <c r="E73" s="5" t="inlineStr">
        <is>
          <t>작성(자료원 부족)</t>
        </is>
      </c>
      <c r="F73" s="5" t="inlineStr">
        <is>
          <t>자료원 1개만 기재</t>
        </is>
      </c>
    </row>
    <row r="74" ht="40" customHeight="1">
      <c r="A74" s="4" t="inlineStr">
        <is>
          <t>11202</t>
        </is>
      </c>
      <c r="B74" s="5" t="inlineStr">
        <is>
          <t>김도아</t>
        </is>
      </c>
      <c r="C74" s="5" t="inlineStr">
        <is>
          <t>① 주제탐구(탐구계획서)</t>
        </is>
      </c>
      <c r="D74" s="5" t="inlineStr">
        <is>
          <t>방사선 치료 효과↑·부작용↓를 위한 화학적 조절제·표적 기술</t>
        </is>
      </c>
      <c r="E74" s="5" t="inlineStr">
        <is>
          <t>작성(매우 구체적)</t>
        </is>
      </c>
      <c r="F74" s="5" t="inlineStr">
        <is>
          <t>자료원 마지막 항목 일부 판독 어려움</t>
        </is>
      </c>
    </row>
    <row r="75" ht="40" customHeight="1">
      <c r="A75" s="4" t="inlineStr">
        <is>
          <t>11203</t>
        </is>
      </c>
      <c r="B75" s="5" t="inlineStr">
        <is>
          <t>김서훈</t>
        </is>
      </c>
      <c r="C75" s="5" t="inlineStr">
        <is>
          <t>① 주제탐구(탐구계획서)</t>
        </is>
      </c>
      <c r="D75" s="5" t="inlineStr">
        <is>
          <t>우리나라와 다른 나라(핀란드·싱가포르) 교육 비교</t>
        </is>
      </c>
      <c r="E75" s="5" t="inlineStr">
        <is>
          <t>작성(구체적)</t>
        </is>
      </c>
      <c r="F75" s="5" t="inlineStr">
        <is>
          <t>1차시 주제와 다름(변경 이유 확인 필요)</t>
        </is>
      </c>
    </row>
    <row r="76" ht="40" customHeight="1">
      <c r="A76" s="4" t="inlineStr">
        <is>
          <t>11204</t>
        </is>
      </c>
      <c r="B76" s="5" t="inlineStr">
        <is>
          <t>김지훈</t>
        </is>
      </c>
      <c r="C76" s="5" t="inlineStr">
        <is>
          <t>① 주제탐구(탐구계획서)</t>
        </is>
      </c>
      <c r="D76" s="5" t="inlineStr">
        <is>
          <t>스포츠과학부가 있는 대학(한양대·인천대·수원대·성균관대) 비교</t>
        </is>
      </c>
      <c r="E76" s="5" t="inlineStr">
        <is>
          <t>핵심 질문만</t>
        </is>
      </c>
      <c r="F76" s="5" t="inlineStr">
        <is>
          <t>하위 질문 ①~③, 활용할 자료원 미기재</t>
        </is>
      </c>
    </row>
    <row r="77" ht="40" customHeight="1">
      <c r="A77" s="4" t="inlineStr">
        <is>
          <t>11205</t>
        </is>
      </c>
      <c r="B77" s="5" t="inlineStr">
        <is>
          <t>김하윤</t>
        </is>
      </c>
      <c r="C77" s="5" t="inlineStr">
        <is>
          <t>③ 습관형성(목표 세우기)</t>
        </is>
      </c>
      <c r="D77" s="5" t="inlineStr">
        <is>
          <t>11월 대회 대비 헤어 디자인 '시간 내 완성' 연습</t>
        </is>
      </c>
      <c r="E77" s="5" t="inlineStr">
        <is>
          <t>일부 작성(SMART 미완성)</t>
        </is>
      </c>
      <c r="F77" s="5" t="inlineStr">
        <is>
          <t>SMART 세부 칸(S·M·A·R·T), 최종 확인 방법, 6번 최종 습관 목표 미기재</t>
        </is>
      </c>
    </row>
    <row r="78" ht="40" customHeight="1">
      <c r="A78" s="4" t="inlineStr">
        <is>
          <t>11206</t>
        </is>
      </c>
      <c r="B78" s="5" t="inlineStr">
        <is>
          <t>박상욱</t>
        </is>
      </c>
      <c r="C78" s="5" t="inlineStr">
        <is>
          <t>① 주제탐구(탐구계획서)</t>
        </is>
      </c>
      <c r="D78" s="5" t="inlineStr">
        <is>
          <t>스포츠과학부가 있는 대학 비교(김지훈과 공동)</t>
        </is>
      </c>
      <c r="E78" s="5" t="inlineStr">
        <is>
          <t>핵심 질문만</t>
        </is>
      </c>
      <c r="F78" s="5" t="inlineStr">
        <is>
          <t>하위 질문 ①~③, 활용할 자료원 미기재</t>
        </is>
      </c>
    </row>
    <row r="79" ht="40" customHeight="1">
      <c r="A79" s="4" t="inlineStr">
        <is>
          <t>11207</t>
        </is>
      </c>
      <c r="B79" s="5" t="inlineStr">
        <is>
          <t>박소은</t>
        </is>
      </c>
      <c r="C79" s="5" t="inlineStr">
        <is>
          <t>② 진로독서(도서 선정)</t>
        </is>
      </c>
      <c r="D79" s="5" t="inlineStr">
        <is>
          <t>『지속가능한 출판을 위한 출판 편집의 시작』 선정</t>
        </is>
      </c>
      <c r="E79" s="5" t="inlineStr">
        <is>
          <t>작성(구체적)</t>
        </is>
      </c>
      <c r="F79" s="5" t="inlineStr">
        <is>
          <t>후보 도서 저자명 일부 판독 어려움</t>
        </is>
      </c>
    </row>
    <row r="80" ht="40" customHeight="1">
      <c r="A80" s="4" t="inlineStr">
        <is>
          <t>11208</t>
        </is>
      </c>
      <c r="B80" s="5" t="inlineStr">
        <is>
          <t>방채원</t>
        </is>
      </c>
      <c r="C80" s="5" t="inlineStr">
        <is>
          <t>① 주제탐구(탐구계획서)</t>
        </is>
      </c>
      <c r="D80" s="5" t="inlineStr">
        <is>
          <t>유아 교사의 언어적 상호작용과 유아 말하기 능력 발달</t>
        </is>
      </c>
      <c r="E80" s="5" t="inlineStr">
        <is>
          <t>작성(구체적)</t>
        </is>
      </c>
      <c r="F80" s="5" t="inlineStr">
        <is>
          <t>1차시 계획서 미제출(보충 필요)</t>
        </is>
      </c>
    </row>
    <row r="81" ht="24" customHeight="1">
      <c r="A81" s="4" t="inlineStr">
        <is>
          <t>11209</t>
        </is>
      </c>
      <c r="B81" s="5" t="inlineStr">
        <is>
          <t>백주호</t>
        </is>
      </c>
      <c r="C81" s="5" t="inlineStr">
        <is>
          <t>① 주제탐구(탐구계획서)</t>
        </is>
      </c>
      <c r="D81" s="5" t="inlineStr">
        <is>
          <t>합기도 강사가 갖춰야 할 덕목(손지훈과 공동)</t>
        </is>
      </c>
      <c r="E81" s="5" t="inlineStr">
        <is>
          <t>작성</t>
        </is>
      </c>
      <c r="F81" s="5" t="inlineStr">
        <is>
          <t>지운 질문 일부·자료원 끝부분 판독 어려움</t>
        </is>
      </c>
    </row>
    <row r="82" ht="40" customHeight="1">
      <c r="A82" s="7" t="inlineStr">
        <is>
          <t>11210</t>
        </is>
      </c>
      <c r="B82" s="8" t="inlineStr">
        <is>
          <t>변준기</t>
        </is>
      </c>
      <c r="C82" s="8" t="inlineStr">
        <is>
          <t>활동지 없음</t>
        </is>
      </c>
      <c r="D82" s="8" t="n"/>
      <c r="E82" s="8" t="n"/>
      <c r="F82" s="8" t="inlineStr">
        <is>
          <t>결석·미제출 확인</t>
        </is>
      </c>
    </row>
    <row r="83" ht="40" customHeight="1">
      <c r="A83" s="4" t="inlineStr">
        <is>
          <t>11211</t>
        </is>
      </c>
      <c r="B83" s="5" t="inlineStr">
        <is>
          <t>손지훈</t>
        </is>
      </c>
      <c r="C83" s="5" t="inlineStr">
        <is>
          <t>① 주제탐구(탐구계획서)</t>
        </is>
      </c>
      <c r="D83" s="5" t="inlineStr">
        <is>
          <t>(합기도) 강사가 갖춰야 할 덕목과 역량(백주호와 공동)</t>
        </is>
      </c>
      <c r="E83" s="5" t="inlineStr">
        <is>
          <t>작성(간략)</t>
        </is>
      </c>
      <c r="F83" s="5" t="inlineStr">
        <is>
          <t>필체가 흘려 쓰여 일부 판독 어려움(원본 확인 필요) / 1차시 주제와 다름</t>
        </is>
      </c>
    </row>
    <row r="84" ht="40" customHeight="1">
      <c r="A84" s="4" t="inlineStr">
        <is>
          <t>11212</t>
        </is>
      </c>
      <c r="B84" s="5" t="inlineStr">
        <is>
          <t>심민주</t>
        </is>
      </c>
      <c r="C84" s="5" t="inlineStr">
        <is>
          <t>① 주제탐구(탐구계획서)</t>
        </is>
      </c>
      <c r="D84" s="5" t="inlineStr">
        <is>
          <t>영미 텍스트 한국어 번역의 문화적 등가성과 문화번역 전략</t>
        </is>
      </c>
      <c r="E84" s="5" t="inlineStr">
        <is>
          <t>작성(매우 구체적)</t>
        </is>
      </c>
      <c r="F84" s="5" t="inlineStr">
        <is>
          <t>1차시 계획서 미제출(보충 필요) / 하위 ① 괄호 안 용어 일부 판독 어려움</t>
        </is>
      </c>
    </row>
    <row r="85" ht="40" customHeight="1">
      <c r="A85" s="4" t="inlineStr">
        <is>
          <t>11213</t>
        </is>
      </c>
      <c r="B85" s="5" t="inlineStr">
        <is>
          <t>안정연</t>
        </is>
      </c>
      <c r="C85" s="5" t="inlineStr">
        <is>
          <t>③ 습관형성(목표 세우기)</t>
        </is>
      </c>
      <c r="D85" s="5" t="inlineStr">
        <is>
          <t>하루 최소 그림 1장 완성(일러스트)</t>
        </is>
      </c>
      <c r="E85" s="5" t="inlineStr">
        <is>
          <t>작성(매우 구체적)</t>
        </is>
      </c>
      <c r="F85" s="5" t="inlineStr">
        <is>
          <t>T(기한) 칸 일부 판독 어려움</t>
        </is>
      </c>
    </row>
    <row r="86" ht="40" customHeight="1">
      <c r="A86" s="4" t="inlineStr">
        <is>
          <t>11214</t>
        </is>
      </c>
      <c r="B86" s="5" t="inlineStr">
        <is>
          <t>엄태훈</t>
        </is>
      </c>
      <c r="C86" s="5" t="inlineStr">
        <is>
          <t>① 주제탐구(탐구계획서)</t>
        </is>
      </c>
      <c r="D86" s="5" t="inlineStr">
        <is>
          <t>수의사와 사육사 비교(하는 일·연봉·진학 경로)</t>
        </is>
      </c>
      <c r="E86" s="5" t="inlineStr">
        <is>
          <t>작성(간략)</t>
        </is>
      </c>
      <c r="F86" s="5" t="inlineStr">
        <is>
          <t>자료원 앞부분 일부 판독 어려움 / 짝과 주제 불일치</t>
        </is>
      </c>
    </row>
    <row r="87" ht="40" customHeight="1">
      <c r="A87" s="4" t="inlineStr">
        <is>
          <t>11215</t>
        </is>
      </c>
      <c r="B87" s="5" t="inlineStr">
        <is>
          <t>윤도영</t>
        </is>
      </c>
      <c r="C87" s="5" t="inlineStr">
        <is>
          <t>① 주제탐구(탐구계획서)</t>
        </is>
      </c>
      <c r="D87" s="5" t="inlineStr">
        <is>
          <t>방송 콘텐츠·알고리즘이 청소년 여가·취미에 미치는 영향</t>
        </is>
      </c>
      <c r="E87" s="5" t="inlineStr">
        <is>
          <t>작성(예시와 유사)</t>
        </is>
      </c>
      <c r="F87" s="5" t="inlineStr">
        <is>
          <t>자료원 일부 판독 어려움 / 짝과 주제 불일치</t>
        </is>
      </c>
    </row>
    <row r="88" ht="40" customHeight="1">
      <c r="A88" s="4" t="inlineStr">
        <is>
          <t>11216</t>
        </is>
      </c>
      <c r="B88" s="5" t="inlineStr">
        <is>
          <t>이봉희</t>
        </is>
      </c>
      <c r="C88" s="5" t="inlineStr">
        <is>
          <t>① 주제탐구(탐구계획서)</t>
        </is>
      </c>
      <c r="D88" s="5" t="inlineStr">
        <is>
          <t>마약의 정의·기원과 마약 범죄 사례 변화</t>
        </is>
      </c>
      <c r="E88" s="5" t="inlineStr">
        <is>
          <t>작성</t>
        </is>
      </c>
      <c r="F88" s="5" t="n"/>
    </row>
    <row r="89" ht="40" customHeight="1">
      <c r="A89" s="4" t="inlineStr">
        <is>
          <t>11217</t>
        </is>
      </c>
      <c r="B89" s="5" t="inlineStr">
        <is>
          <t>이우주</t>
        </is>
      </c>
      <c r="C89" s="5" t="inlineStr">
        <is>
          <t>① 주제탐구(탐구계획서)</t>
        </is>
      </c>
      <c r="D89" s="5" t="inlineStr">
        <is>
          <t>빛을 통해 물체·색을 인식하는 과정</t>
        </is>
      </c>
      <c r="E89" s="5" t="inlineStr">
        <is>
          <t>작성(구체적)</t>
        </is>
      </c>
      <c r="F89" s="5" t="inlineStr">
        <is>
          <t>하위 ③ 옆 메모 일부 판독 어려움</t>
        </is>
      </c>
    </row>
    <row r="90" ht="24" customHeight="1">
      <c r="A90" s="4" t="inlineStr">
        <is>
          <t>11218</t>
        </is>
      </c>
      <c r="B90" s="5" t="inlineStr">
        <is>
          <t>이름확인필요</t>
        </is>
      </c>
      <c r="C90" s="5" t="inlineStr">
        <is>
          <t>② 진로독서(도서 선정)</t>
        </is>
      </c>
      <c r="D90" s="5" t="inlineStr">
        <is>
          <t>회계사 관련 도서 선정</t>
        </is>
      </c>
      <c r="E90" s="5" t="inlineStr">
        <is>
          <t>작성</t>
        </is>
      </c>
      <c r="F90" s="5" t="inlineStr">
        <is>
          <t>이름 판독 어려움 / 후보 도서 제목·선정 이유 일부 판독 어려움(원본 확인 필요)</t>
        </is>
      </c>
    </row>
    <row r="91" ht="24" customHeight="1">
      <c r="A91" s="7" t="inlineStr">
        <is>
          <t>11219</t>
        </is>
      </c>
      <c r="B91" s="8" t="inlineStr">
        <is>
          <t>정은혜</t>
        </is>
      </c>
      <c r="C91" s="8" t="inlineStr">
        <is>
          <t>활동지 없음</t>
        </is>
      </c>
      <c r="D91" s="8" t="n"/>
      <c r="E91" s="8" t="n"/>
      <c r="F91" s="8" t="inlineStr">
        <is>
          <t>결석·미제출 확인</t>
        </is>
      </c>
    </row>
    <row r="92" ht="40" customHeight="1">
      <c r="A92" s="7" t="inlineStr">
        <is>
          <t>11220</t>
        </is>
      </c>
      <c r="B92" s="8" t="inlineStr">
        <is>
          <t>최나은</t>
        </is>
      </c>
      <c r="C92" s="8" t="inlineStr">
        <is>
          <t>활동지 없음</t>
        </is>
      </c>
      <c r="D92" s="8" t="n"/>
      <c r="E92" s="8" t="n"/>
      <c r="F92" s="8" t="inlineStr">
        <is>
          <t>결석·미제출 확인</t>
        </is>
      </c>
    </row>
    <row r="93" ht="40" customHeight="1">
      <c r="A93" s="4" t="inlineStr">
        <is>
          <t>11221</t>
        </is>
      </c>
      <c r="B93" s="5" t="inlineStr">
        <is>
          <t>타이압</t>
        </is>
      </c>
      <c r="C93" s="5" t="inlineStr">
        <is>
          <t>① 주제탐구(탐구계획서)</t>
        </is>
      </c>
      <c r="D93" s="5" t="inlineStr">
        <is>
          <t>가격 전략이 소비자 구매 행동에 미치는 영향(홍의찬과 공동)</t>
        </is>
      </c>
      <c r="E93" s="5" t="inlineStr">
        <is>
          <t>핵심 질문만</t>
        </is>
      </c>
      <c r="F93" s="5" t="inlineStr">
        <is>
          <t>하위 질문 ①~③, 활용할 자료원 미기재</t>
        </is>
      </c>
    </row>
    <row r="94" ht="40" customHeight="1">
      <c r="A94" s="4" t="inlineStr">
        <is>
          <t>11222</t>
        </is>
      </c>
      <c r="B94" s="5" t="inlineStr">
        <is>
          <t>허윤주</t>
        </is>
      </c>
      <c r="C94" s="5" t="inlineStr">
        <is>
          <t>① 주제탐구(탐구계획서)</t>
        </is>
      </c>
      <c r="D94" s="5" t="inlineStr">
        <is>
          <t>미용사가 개인의 삶과 사회에 미치는 영향</t>
        </is>
      </c>
      <c r="E94" s="5" t="inlineStr">
        <is>
          <t>작성(구체적)</t>
        </is>
      </c>
      <c r="F94" s="5" t="n"/>
    </row>
    <row r="95">
      <c r="A95" s="4" t="inlineStr">
        <is>
          <t>11223</t>
        </is>
      </c>
      <c r="B95" s="5" t="inlineStr">
        <is>
          <t>홍의찬</t>
        </is>
      </c>
      <c r="C95" s="5" t="inlineStr">
        <is>
          <t>① 주제탐구(탐구계획서)</t>
        </is>
      </c>
      <c r="D95" s="5" t="inlineStr">
        <is>
          <t>가격 전략이 소비자 구매 행동에 미치는 영향(타이압과 공동)</t>
        </is>
      </c>
      <c r="E95" s="5" t="inlineStr">
        <is>
          <t>핵심 질문만</t>
        </is>
      </c>
      <c r="F95" s="5" t="inlineStr">
        <is>
          <t>학번을 학번란 밖에 적음 / 하위 질문 ①~③, 활용할 자료원 미기재</t>
        </is>
      </c>
    </row>
    <row r="97">
      <c r="A97" s="6" t="inlineStr">
        <is>
          <t>⑤ P-3 진로 프로젝트 3차시 현황</t>
        </is>
      </c>
    </row>
    <row r="98">
      <c r="A98" s="3" t="inlineStr">
        <is>
          <t>학번</t>
        </is>
      </c>
      <c r="B98" s="3" t="inlineStr">
        <is>
          <t>이름</t>
        </is>
      </c>
      <c r="C98" s="3" t="inlineStr">
        <is>
          <t>3차시 활동(트랙)</t>
        </is>
      </c>
      <c r="D98" s="3" t="inlineStr">
        <is>
          <t>핵심 내용(자료·도서·습관 목표)</t>
        </is>
      </c>
      <c r="E98" s="3" t="inlineStr">
        <is>
          <t>작성 수준</t>
        </is>
      </c>
      <c r="F98" s="3" t="inlineStr">
        <is>
          <t>확인 필요</t>
        </is>
      </c>
    </row>
    <row r="99" ht="40" customHeight="1">
      <c r="A99" s="4" t="inlineStr">
        <is>
          <t>11201</t>
        </is>
      </c>
      <c r="B99" s="5" t="inlineStr">
        <is>
          <t>김담희</t>
        </is>
      </c>
      <c r="C99" s="5" t="inlineStr">
        <is>
          <t>① 주제탐구(자료 수집)</t>
        </is>
      </c>
      <c r="D99" s="5" t="inlineStr">
        <is>
          <t>유치원 교사 역할·응급 대처·감정 코칭 자료 4개</t>
        </is>
      </c>
      <c r="E99" s="5" t="inlineStr">
        <is>
          <t>작성(구체적)</t>
        </is>
      </c>
      <c r="F99" s="5" t="inlineStr">
        <is>
          <t>자료 ⑤, 나의 생각/메모 미기재 / 자료 ①·② 출처명 일부 판독 어려움(원본 확인 필요)</t>
        </is>
      </c>
    </row>
    <row r="100" ht="40" customHeight="1">
      <c r="A100" s="4" t="inlineStr">
        <is>
          <t>11202</t>
        </is>
      </c>
      <c r="B100" s="5" t="inlineStr">
        <is>
          <t>김도아</t>
        </is>
      </c>
      <c r="C100" s="5" t="inlineStr">
        <is>
          <t>① 주제탐구(자료 수집)</t>
        </is>
      </c>
      <c r="D100" s="5" t="inlineStr">
        <is>
          <t>방사선방호제 연구·국가암정보센터 등 출처 4개(요약 없음)</t>
        </is>
      </c>
      <c r="E100" s="5" t="inlineStr">
        <is>
          <t>출처만</t>
        </is>
      </c>
      <c r="F100" s="5" t="inlineStr">
        <is>
          <t>핵심 내용 요약 ①~④, 자료 ⑤, 나의 생각/메모 미기재</t>
        </is>
      </c>
    </row>
    <row r="101" ht="40" customHeight="1">
      <c r="A101" s="4" t="inlineStr">
        <is>
          <t>11203</t>
        </is>
      </c>
      <c r="B101" s="5" t="inlineStr">
        <is>
          <t>김서훈</t>
        </is>
      </c>
      <c r="C101" s="5" t="inlineStr">
        <is>
          <t>① 주제탐구(자료 수집)</t>
        </is>
      </c>
      <c r="D101" s="5" t="inlineStr">
        <is>
          <t>PISA·NCIC 등 한국·핀란드·싱가포르 교육 비교 자료 4개</t>
        </is>
      </c>
      <c r="E101" s="5" t="inlineStr">
        <is>
          <t>작성(구체적)</t>
        </is>
      </c>
      <c r="F101" s="5" t="inlineStr">
        <is>
          <t>자료 ⑤ 미기재</t>
        </is>
      </c>
    </row>
    <row r="102" ht="40" customHeight="1">
      <c r="A102" s="4" t="inlineStr">
        <is>
          <t>11204</t>
        </is>
      </c>
      <c r="B102" s="5" t="inlineStr">
        <is>
          <t>김지훈</t>
        </is>
      </c>
      <c r="C102" s="5" t="inlineStr">
        <is>
          <t>① 주제탐구(자료 수집)</t>
        </is>
      </c>
      <c r="D102" s="5" t="inlineStr">
        <is>
          <t>(미작성)</t>
        </is>
      </c>
      <c r="E102" s="5" t="inlineStr">
        <is>
          <t>미작성</t>
        </is>
      </c>
      <c r="F102" s="5" t="inlineStr">
        <is>
          <t>자료 출처·핵심 내용 요약 ①~⑤, 나의 생각/메모 전체 미기재</t>
        </is>
      </c>
    </row>
    <row r="103" ht="40" customHeight="1">
      <c r="A103" s="4" t="inlineStr">
        <is>
          <t>11205</t>
        </is>
      </c>
      <c r="B103" s="5" t="inlineStr">
        <is>
          <t>김하윤</t>
        </is>
      </c>
      <c r="C103" s="5" t="inlineStr">
        <is>
          <t>③ 습관형성(1주차 기록표)</t>
        </is>
      </c>
      <c r="D103" s="5" t="inlineStr">
        <is>
          <t>목표 '열심히 하기' / 실천 0일, 다음 주 주 4회 다짐</t>
        </is>
      </c>
      <c r="E103" s="5" t="inlineStr">
        <is>
          <t>일부 작성(실천 0일)</t>
        </is>
      </c>
      <c r="F103" s="5" t="inlineStr">
        <is>
          <t>요일별 실천 내용·오늘의 한 줄 미기재 / 이번 주 목표 첫 글자 판독 어려움</t>
        </is>
      </c>
    </row>
    <row r="104" ht="40" customHeight="1">
      <c r="A104" s="4" t="inlineStr">
        <is>
          <t>11206</t>
        </is>
      </c>
      <c r="B104" s="5" t="inlineStr">
        <is>
          <t>박상욱</t>
        </is>
      </c>
      <c r="C104" s="5" t="inlineStr">
        <is>
          <t>① 주제탐구(자료 수집)</t>
        </is>
      </c>
      <c r="D104" s="5" t="inlineStr">
        <is>
          <t>체대입시 사이트 모집인원·경쟁률 자료 2개(대학명 없음)</t>
        </is>
      </c>
      <c r="E104" s="5" t="inlineStr">
        <is>
          <t>일부 작성</t>
        </is>
      </c>
      <c r="F104" s="5" t="inlineStr">
        <is>
          <t>자료 ②·④·⑤, 나의 생각/메모 미기재 / 요약에 대학명 없음</t>
        </is>
      </c>
    </row>
    <row r="105" ht="40" customHeight="1">
      <c r="A105" s="4" t="inlineStr">
        <is>
          <t>11207</t>
        </is>
      </c>
      <c r="B105" s="5" t="inlineStr">
        <is>
          <t>박소은</t>
        </is>
      </c>
      <c r="C105" s="5" t="inlineStr">
        <is>
          <t>② 진로독서(독서 전 활동)</t>
        </is>
      </c>
      <c r="D105" s="5" t="inlineStr">
        <is>
          <t>『지속가능한 출판을 위한 출판 편집의 시작』 — '편집자에 대한 환상을 버려라' 장</t>
        </is>
      </c>
      <c r="E105" s="5" t="inlineStr">
        <is>
          <t>작성(매우 구체적)</t>
        </is>
      </c>
      <c r="F105" s="5" t="n"/>
    </row>
    <row r="106" ht="40" customHeight="1">
      <c r="A106" s="4" t="inlineStr">
        <is>
          <t>11208</t>
        </is>
      </c>
      <c r="B106" s="5" t="inlineStr">
        <is>
          <t>방채원</t>
        </is>
      </c>
      <c r="C106" s="5" t="inlineStr">
        <is>
          <t>① 주제탐구(자료 수집)</t>
        </is>
      </c>
      <c r="D106" s="5" t="inlineStr">
        <is>
          <t>교사-유아 상호작용과 유아 말하기 능력 박사논문 1개</t>
        </is>
      </c>
      <c r="E106" s="5" t="inlineStr">
        <is>
          <t>일부 작성(자료 1개)</t>
        </is>
      </c>
      <c r="F106" s="5" t="inlineStr">
        <is>
          <t>자료 ②~⑤, 나의 생각/메모 미기재 / 논문 제목 끝부분 판독 어려움</t>
        </is>
      </c>
    </row>
    <row r="107" ht="40" customHeight="1">
      <c r="A107" s="4" t="inlineStr">
        <is>
          <t>11209</t>
        </is>
      </c>
      <c r="B107" s="5" t="inlineStr">
        <is>
          <t>백주호</t>
        </is>
      </c>
      <c r="C107" s="5" t="inlineStr">
        <is>
          <t>① 주제탐구(자료 수집)</t>
        </is>
      </c>
      <c r="D107" s="5" t="inlineStr">
        <is>
          <t>스포츠 지도자의 태도·가치관 기사 2개</t>
        </is>
      </c>
      <c r="E107" s="5" t="inlineStr">
        <is>
          <t>일부 작성(판독 어려움)</t>
        </is>
      </c>
      <c r="F107" s="5" t="inlineStr">
        <is>
          <t>자료 ③~⑤, 나의 생각/메모 미기재 / 자료 ①·② 출처명과 일부 문장 판독 어려움(원본 확인 필요)</t>
        </is>
      </c>
    </row>
    <row r="108" ht="40" customHeight="1">
      <c r="A108" s="4" t="inlineStr">
        <is>
          <t>11210</t>
        </is>
      </c>
      <c r="B108" s="5" t="inlineStr">
        <is>
          <t>변준기</t>
        </is>
      </c>
      <c r="C108" s="5" t="inlineStr">
        <is>
          <t>① 주제탐구(자료 수집)</t>
        </is>
      </c>
      <c r="D108" s="5" t="inlineStr">
        <is>
          <t>서태지와 아이들 이후 대중음악 스타일 변화 기사 1개</t>
        </is>
      </c>
      <c r="E108" s="5" t="inlineStr">
        <is>
          <t>일부 작성(자료 1개)</t>
        </is>
      </c>
      <c r="F108" s="5" t="inlineStr">
        <is>
          <t>자료 ②~⑤, 나의 생각/메모 미기재 / P-2 탐구계획서 미제출</t>
        </is>
      </c>
    </row>
    <row r="109" ht="40" customHeight="1">
      <c r="A109" s="4" t="inlineStr">
        <is>
          <t>11211</t>
        </is>
      </c>
      <c r="B109" s="5" t="inlineStr">
        <is>
          <t>손지훈</t>
        </is>
      </c>
      <c r="C109" s="5" t="inlineStr">
        <is>
          <t>① 주제탐구(자료 수집)</t>
        </is>
      </c>
      <c r="D109" s="5" t="inlineStr">
        <is>
          <t>스포츠 강사 자질·역량·청소년 영향 자료 4개</t>
        </is>
      </c>
      <c r="E109" s="5" t="inlineStr">
        <is>
          <t>작성(구체적)</t>
        </is>
      </c>
      <c r="F109" s="5" t="inlineStr">
        <is>
          <t>자료 ⑤, 나의 생각/메모 미기재 / 출처명(①~④) 일부 판독 어려움(원본 확인 필요)</t>
        </is>
      </c>
    </row>
    <row r="110" ht="40" customHeight="1">
      <c r="A110" s="4" t="inlineStr">
        <is>
          <t>11212</t>
        </is>
      </c>
      <c r="B110" s="5" t="inlineStr">
        <is>
          <t>심민주</t>
        </is>
      </c>
      <c r="C110" s="5" t="inlineStr">
        <is>
          <t>① 주제탐구(자료 수집)</t>
        </is>
      </c>
      <c r="D110" s="5" t="inlineStr">
        <is>
          <t>베누티·먼데이 번역 이론서, 넷플릭스·AI 번역기 실험, 번역본 비교 5개</t>
        </is>
      </c>
      <c r="E110" s="5" t="inlineStr">
        <is>
          <t>작성(매우 구체적)</t>
        </is>
      </c>
      <c r="F110" s="5" t="n"/>
    </row>
    <row r="111" ht="40" customHeight="1">
      <c r="A111" s="4" t="inlineStr">
        <is>
          <t>11213</t>
        </is>
      </c>
      <c r="B111" s="5" t="inlineStr">
        <is>
          <t>안정연</t>
        </is>
      </c>
      <c r="C111" s="5" t="inlineStr">
        <is>
          <t>③ 습관형성(1주차 기록표)</t>
        </is>
      </c>
      <c r="D111" s="5" t="inlineStr">
        <is>
          <t>하루 그림 1장 완성 / 실천 1일(토)</t>
        </is>
      </c>
      <c r="E111" s="5" t="inlineStr">
        <is>
          <t>일부 작성(실천 1일)</t>
        </is>
      </c>
      <c r="F111" s="5" t="inlineStr">
        <is>
          <t>요일별 실천 내용·오늘의 한 줄 미기재 / 느낀 점 문장 미완성</t>
        </is>
      </c>
    </row>
    <row r="112" ht="40" customHeight="1">
      <c r="A112" s="4" t="inlineStr">
        <is>
          <t>11214</t>
        </is>
      </c>
      <c r="B112" s="5" t="inlineStr">
        <is>
          <t>엄태훈</t>
        </is>
      </c>
      <c r="C112" s="5" t="inlineStr">
        <is>
          <t>① 주제탐구(자료 수집)</t>
        </is>
      </c>
      <c r="D112" s="5" t="inlineStr">
        <is>
          <t>수의사·수의테크니션·사육사 연봉·근무 여건·학과 비교 자료 3개</t>
        </is>
      </c>
      <c r="E112" s="5" t="inlineStr">
        <is>
          <t>작성</t>
        </is>
      </c>
      <c r="F112" s="5" t="inlineStr">
        <is>
          <t>자료 ④·⑤, 나의 생각/메모 미기재 / 자료 ①·③ 출처명 일부 판독 어려움</t>
        </is>
      </c>
    </row>
    <row r="113" ht="40" customHeight="1">
      <c r="A113" s="4" t="inlineStr">
        <is>
          <t>11215</t>
        </is>
      </c>
      <c r="B113" s="5" t="inlineStr">
        <is>
          <t>윤도영</t>
        </is>
      </c>
      <c r="C113" s="5" t="inlineStr">
        <is>
          <t>① 주제탐구(자료 수집)</t>
        </is>
      </c>
      <c r="D113" s="5" t="inlineStr">
        <is>
          <t>크리에이터 산업 실태조사, 숏폼 중독 관련 학술논문 2편</t>
        </is>
      </c>
      <c r="E113" s="5" t="inlineStr">
        <is>
          <t>작성(구체적)</t>
        </is>
      </c>
      <c r="F113" s="5" t="inlineStr">
        <is>
          <t>자료 ④·⑤, 나의 생각/메모 미기재</t>
        </is>
      </c>
    </row>
    <row r="114" ht="40" customHeight="1">
      <c r="A114" s="4" t="inlineStr">
        <is>
          <t>11216</t>
        </is>
      </c>
      <c r="B114" s="5" t="inlineStr">
        <is>
          <t>이봉희</t>
        </is>
      </c>
      <c r="C114" s="5" t="inlineStr">
        <is>
          <t>① 주제탐구(자료 수집)</t>
        </is>
      </c>
      <c r="D114" s="5" t="inlineStr">
        <is>
          <t>대검찰청 마약범죄수사팀 업무 자료 1개</t>
        </is>
      </c>
      <c r="E114" s="5" t="inlineStr">
        <is>
          <t>일부 작성(자료 1개)</t>
        </is>
      </c>
      <c r="F114" s="5" t="inlineStr">
        <is>
          <t>자료 ②~⑤, 나의 생각/메모 미기재</t>
        </is>
      </c>
    </row>
    <row r="115" ht="40" customHeight="1">
      <c r="A115" s="4" t="inlineStr">
        <is>
          <t>11217</t>
        </is>
      </c>
      <c r="B115" s="5" t="inlineStr">
        <is>
          <t>이우주</t>
        </is>
      </c>
      <c r="C115" s="5" t="inlineStr">
        <is>
          <t>① 주제탐구(자료 수집)</t>
        </is>
      </c>
      <c r="D115" s="5" t="inlineStr">
        <is>
          <t>(미작성)</t>
        </is>
      </c>
      <c r="E115" s="5" t="inlineStr">
        <is>
          <t>미작성</t>
        </is>
      </c>
      <c r="F115" s="5" t="inlineStr">
        <is>
          <t>자료 출처·핵심 내용 요약 ①~⑤, 나의 생각/메모 전체 미기재</t>
        </is>
      </c>
    </row>
    <row r="116" ht="40" customHeight="1">
      <c r="A116" s="4" t="inlineStr">
        <is>
          <t>11218</t>
        </is>
      </c>
      <c r="B116" s="5" t="inlineStr">
        <is>
          <t>이름확인필요</t>
        </is>
      </c>
      <c r="C116" s="5" t="inlineStr">
        <is>
          <t>② 진로독서(독서 전 활동)</t>
        </is>
      </c>
      <c r="D116" s="5" t="inlineStr">
        <is>
          <t>회계 관련 도서 — '회계가 일상에 주는 도움' 궁금</t>
        </is>
      </c>
      <c r="E116" s="5" t="inlineStr">
        <is>
          <t>작성(간략)</t>
        </is>
      </c>
      <c r="F116" s="5" t="inlineStr">
        <is>
          <t>책 제목 미기재 / 이름·궁금한 부분 판독 어려움(원본 확인 필요)</t>
        </is>
      </c>
    </row>
    <row r="117" ht="40" customHeight="1">
      <c r="A117" s="4" t="inlineStr">
        <is>
          <t>11219</t>
        </is>
      </c>
      <c r="B117" s="5" t="inlineStr">
        <is>
          <t>정은혜</t>
        </is>
      </c>
      <c r="C117" s="5" t="inlineStr">
        <is>
          <t>활동지 없음</t>
        </is>
      </c>
      <c r="D117" s="5" t="n"/>
      <c r="E117" s="5" t="n"/>
      <c r="F117" s="5" t="inlineStr">
        <is>
          <t>결석·미제출 확인</t>
        </is>
      </c>
    </row>
    <row r="118" ht="40" customHeight="1">
      <c r="A118" s="4" t="inlineStr">
        <is>
          <t>11220</t>
        </is>
      </c>
      <c r="B118" s="5" t="inlineStr">
        <is>
          <t>최나은</t>
        </is>
      </c>
      <c r="C118" s="5" t="inlineStr">
        <is>
          <t>③ 습관형성(1주차 기록표)</t>
        </is>
      </c>
      <c r="D118" s="5" t="inlineStr">
        <is>
          <t>경제 뉴스로 경제 상황 파악 / 월 1회 기록(금리·반도체 관세)</t>
        </is>
      </c>
      <c r="E118" s="5" t="inlineStr">
        <is>
          <t>일부 작성(실천 1일)</t>
        </is>
      </c>
      <c r="F118" s="5" t="inlineStr">
        <is>
          <t>화~일 실천 기록, 이번 주 실천 일수, 느낀 점 미기재</t>
        </is>
      </c>
    </row>
    <row r="119" ht="40" customHeight="1">
      <c r="A119" s="4" t="inlineStr">
        <is>
          <t>11221</t>
        </is>
      </c>
      <c r="B119" s="5" t="inlineStr">
        <is>
          <t>타이압</t>
        </is>
      </c>
      <c r="C119" s="5" t="inlineStr">
        <is>
          <t>① 주제탐구(자료 수집)</t>
        </is>
      </c>
      <c r="D119" s="5" t="inlineStr">
        <is>
          <t>가격 변화 전략·할인율과 구매의도 DBpia 논문 2개</t>
        </is>
      </c>
      <c r="E119" s="5" t="inlineStr">
        <is>
          <t>작성</t>
        </is>
      </c>
      <c r="F119" s="5" t="inlineStr">
        <is>
          <t>자료 ③~⑤, 나의 생각/메모 미기재 / 논문 ② 제목 일부 생략됨</t>
        </is>
      </c>
    </row>
    <row r="120" ht="40" customHeight="1">
      <c r="A120" s="4" t="inlineStr">
        <is>
          <t>11222</t>
        </is>
      </c>
      <c r="B120" s="5" t="inlineStr">
        <is>
          <t>허윤주</t>
        </is>
      </c>
      <c r="C120" s="5" t="inlineStr">
        <is>
          <t>① 주제탐구(자료 수집)</t>
        </is>
      </c>
      <c r="D120" s="5" t="inlineStr">
        <is>
          <t>미용사의 개인·사회적 영향, 2026 트렌드, AI 대체 불가 직업 자료 4개</t>
        </is>
      </c>
      <c r="E120" s="5" t="inlineStr">
        <is>
          <t>작성(구체적)</t>
        </is>
      </c>
      <c r="F120" s="5" t="inlineStr">
        <is>
          <t>자료 ⑤ 미기재 / 메모가 한 줄로 짧음</t>
        </is>
      </c>
    </row>
    <row r="121" ht="40" customHeight="1">
      <c r="A121" s="4" t="inlineStr">
        <is>
          <t>11223</t>
        </is>
      </c>
      <c r="B121" s="5" t="inlineStr">
        <is>
          <t>홍의찬</t>
        </is>
      </c>
      <c r="C121" s="5" t="inlineStr">
        <is>
          <t>① 주제탐구(자료 수집)</t>
        </is>
      </c>
      <c r="D121" s="5" t="inlineStr">
        <is>
          <t>경쟁 기반 가격·맞춤 가격 전략 블로그 자료 2개</t>
        </is>
      </c>
      <c r="E121" s="5" t="inlineStr">
        <is>
          <t>일부 작성(블로그 출처)</t>
        </is>
      </c>
      <c r="F121" s="5" t="inlineStr">
        <is>
          <t>자료 ③~⑤, 나의 생각/메모 미기재 / 블로그 세부 주소 미기재</t>
        </is>
      </c>
    </row>
  </sheetData>
  <mergeCells count="1">
    <mergeCell ref="A1:F1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2026-09-26T04:01:08Z</dcterms:created>
  <dcterms:modified xsi:type="dcterms:W3CDTF">2026-09-28T09:00:00Z</dcterms:modified>
</cp:coreProperties>
</file>