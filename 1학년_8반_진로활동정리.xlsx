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801 류혜정" sheetId="1" state="visible" r:id="rId1"/>
    <sheet name="10802 간보민" sheetId="2" state="visible" r:id="rId2"/>
    <sheet name="10803 김가빈" sheetId="3" state="visible" r:id="rId3"/>
    <sheet name="10804 김규리" sheetId="4" state="visible" r:id="rId4"/>
    <sheet name="10805 김민지" sheetId="5" state="visible" r:id="rId5"/>
    <sheet name="10806 김세희" sheetId="6" state="visible" r:id="rId6"/>
    <sheet name="10807 김연아" sheetId="7" state="visible" r:id="rId7"/>
    <sheet name="10808 김하랑" sheetId="8" state="visible" r:id="rId8"/>
    <sheet name="10809 김하율" sheetId="9" state="visible" r:id="rId9"/>
    <sheet name="10810 노주원" sheetId="10" state="visible" r:id="rId10"/>
    <sheet name="10811 류태준" sheetId="11" state="visible" r:id="rId11"/>
    <sheet name="10812 백우준" sheetId="12" state="visible" r:id="rId12"/>
    <sheet name="10813 서무영" sheetId="13" state="visible" r:id="rId13"/>
    <sheet name="10814 송지우" sheetId="14" state="visible" r:id="rId14"/>
    <sheet name="10815 신주원" sheetId="15" state="visible" r:id="rId15"/>
    <sheet name="10816 유태석" sheetId="16" state="visible" r:id="rId16"/>
    <sheet name="10817 이건민" sheetId="17" state="visible" r:id="rId17"/>
    <sheet name="10818 이주희" sheetId="18" state="visible" r:id="rId18"/>
    <sheet name="10819 이지웅" sheetId="19" state="visible" r:id="rId19"/>
    <sheet name="10820 장승빈" sheetId="20" state="visible" r:id="rId20"/>
    <sheet name="10821 장준혁" sheetId="21" state="visible" r:id="rId21"/>
    <sheet name="10822 최시우" sheetId="22" state="visible" r:id="rId22"/>
    <sheet name="10823 한아인" sheetId="23" state="visible" r:id="rId23"/>
    <sheet name="프로젝트 진행 확인표" sheetId="24" state="visible" r:id="rId24"/>
    <sheet name="차시 목록" sheetId="25" state="visible" r:id="rId2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sz val="14"/>
    </font>
    <font>
      <name val="맑은 고딕"/>
      <i val="1"/>
      <color rgb="00595959"/>
      <sz val="10"/>
    </font>
    <font>
      <name val="맑은 고딕"/>
      <b val="1"/>
      <color rgb="00FFFFFF"/>
      <sz val="11"/>
    </font>
    <font>
      <name val="맑은 고딕"/>
      <sz val="10"/>
    </font>
    <font>
      <name val="맑은 고딕"/>
      <b val="1"/>
      <sz val="12"/>
    </font>
    <font>
      <name val="맑은 고딕"/>
      <i val="1"/>
      <color rgb="00595959"/>
      <sz val="9"/>
    </font>
    <font>
      <name val="맑은 고딕"/>
      <b val="1"/>
      <sz val="10"/>
    </font>
  </fonts>
  <fills count="5">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0" pivotButton="0" quotePrefix="0" xfId="0"/>
    <xf numFmtId="0" fontId="4"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0" borderId="0" applyAlignment="1" pivotButton="0" quotePrefix="0" xfId="0">
      <alignment horizontal="left" vertical="top" wrapText="1"/>
    </xf>
    <xf numFmtId="0" fontId="7" fillId="4" borderId="1" applyAlignment="1" pivotButton="0" quotePrefix="0" xfId="0">
      <alignment horizontal="center"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8CBAD"/>
          <bgColor rgb="00F8CBAD"/>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10801 류혜정)</t>
        </is>
      </c>
    </row>
    <row r="2" ht="62" customHeight="1">
      <c r="A2" s="2" t="inlineStr">
        <is>
          <t>※ 활동지 스캔본(PDF)을 바탕으로 정리. 필체 판독이 어렵거나 학생이 미기재한 항목은 '판독 어려움/미기재'로 표기함. 10801은 1학기(1-1~1-8, 최종) 개인 스캔본과 2학기 2-2 학급 스캔본을 함께 정리함. 1-2·1-3 활동지는 학번·이름이 비어 있으나 본인 스캔본에 포함되어 본인 것으로 판단함. 2학기 진로 프로젝트(개별 프로젝트) P-1(1차시 트랙 선택·계획서)·P-2(2차시 트랙별 활동지) 학급 스캔본을 추가 반영함. 단, P-2 스캔본에는 이 학생의 활동지가 없음. P-3(3차시: 주제탐구 자료 수집 / 진로독서 독서 전 활동 / 습관형성 1주차 기록표) 학급 스캔본을 추가 반영함. 이 학생은 P-3에 진로독서 트랙이면서 주제탐구용 자료 수집 활동지를 제출함(P-2 활동지는 여전히 없음).</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0"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자기소개 진진가: '영어를 좋아한다 / 노란색을 좋아한다 / 고양이를 좋아한다', '의사가 되고 싶다 / 댄스 좋아한다 / 음악을 좋아한다'
질문지: 하고 싶은 일을 자신 있게 말할 수 있다·노력하고 있다·필요한 공부를 알고 노력한다·상담 경험 있다 → 모두 '그렇다'. 가족과 꿈 이야기 → '보통'
상담 상대: 교사 / 진로 결정 시 가장 중요한 것: 부모님 의견 / 정보 탐색: 유튜브
노력: 다양한 진로 체험 활동 수행 / 어려운 점: 진로 체험 기회 부족
진로수업에 바라는 것: '시간'
약속: ★적극 — '적극적으로 해야 빨리 알 수 있다'
깨달은 점: '다양한 문제를 알 수 있고 싶다' / 다섯 글자 다짐: '잘할 수 있다'</t>
        </is>
      </c>
      <c r="E5" s="5" t="inlineStr">
        <is>
          <t>자기소개에 '의사가 되고 싶다', '영어를 좋아한다'가 등장 → 이후 5차시부터는 통역가로 관심이 옮겨감.
진로 결정 요인으로 '부모님 의견'을 가장 중요하다고 선택함(상담 시 참고).</t>
        </is>
      </c>
      <c r="F5" s="5" t="inlineStr">
        <is>
          <t>진로수업에 바라는 점이 '시간' 한 단어뿐이라 의미 확인 필요</t>
        </is>
      </c>
    </row>
    <row r="6" ht="170"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대부분 정확히 작성: 정시=수능, 수시 핵심전형=학생부교과/학생부종합, 5등급제·1등급 상위 10%, 지필+수행, 수행평가 비중, 졸업 이수 192학점, 2학년부터 진로에 맞게 과목 선택, 1학년 여름방학 전 진로 설정, 학종은 과정 평가, 과목별 세부능력 및 특기사항, 수업에 적극적으로 참여, 자율자치·동아리·행동특성 및 종합의견, 공통 과목·통합사회/통합과학, 정시도 내신 반영, 역전, 주도적
활동 후 다짐: 미기재</t>
        </is>
      </c>
      <c r="E6" s="5" t="inlineStr">
        <is>
          <t>영상 핵심 내용을 성실히 받아 적음. '수능 최저' 빈칸을 '내신'으로 적은 부분만 오답.</t>
        </is>
      </c>
      <c r="F6" s="5" t="inlineStr">
        <is>
          <t>활동지에 학번·이름 미기재(10801 스캔본에 포함되어 있어 본인 것으로 판단)
8번 다짐 미기재</t>
        </is>
      </c>
    </row>
    <row r="7" ht="170"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128등(※오류), 2등급 94등, 3등급 183등, 4등급 249등, 5등급 277등
100점 동점자 50명이면 → 2등급
대학이 가장 깊게 보는 항목 → 과목별 세부능력 및 특기사항
세특 확인 시기 → '2학년 진급 후 확인 가능'
1등급 28명에 대한 느낀 점: 미기재
목표 점수: 공통국어 20만 기재
시험 계획표: 4/8 '읽는 거', 4/9 '소통'(공통국어)만 기재</t>
        </is>
      </c>
      <c r="E7" s="5" t="inlineStr">
        <is>
          <t>1등급 계산 오류(277×10%≈28등인데 128등으로 적음). 2~4등급은 정확.
시험 계획은 국어 2일치만 작성 — 계획 세우기 단계가 거의 비어 있음.</t>
        </is>
      </c>
      <c r="F7" s="5" t="inlineStr">
        <is>
          <t>활동지에 학번·이름 미기재(스캔본 포함으로 본인 것으로 판단)
느낀 점, 목표 점수(국어 외), 계획표 대부분 미기재</t>
        </is>
      </c>
    </row>
    <row r="8" ht="170"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②도덕성(임마누엘 칸트 / 의약품 인허가 전문가·초중고 교사·판사) ③용감성(안중근 / 위기협상 전문가·소방관·경찰관)
핵심 강점 연관 단어: 행복, 보편적, 책임감, 열정, 즐거움 / 강화 방안: '긍정성'만 적음
MIT 희망 전공: 초중등교육, 언론, 식품 / 추천 전공: 산업·안전(산업안전원, 산업공학과), 음악(연주가, 기악과), 사회·심리(사회학연구원, 사회학과)
가장 선호하는 계열: 인문계열
희망-추천 불일치 이유: 미기재
직업 가치 1~3순위 칸에 '초중등교육, 언론, 식품'을 적음</t>
        </is>
      </c>
      <c r="E8" s="5" t="inlineStr">
        <is>
          <t>희망 전공(교육·언론·식품)과 추천 전공(산업안전·음악·사회심리)이 전혀 겹치지 않는데 그 이유 정리는 비어 있음.
직업 가치 칸에 희망 전공을 그대로 옮겨 적어 활동 취지를 오해한 것으로 보임.
선호 계열을 '인문계열'로 적음(최종 활동지의 '자연계열'과 불일치).</t>
        </is>
      </c>
      <c r="F8" s="5" t="inlineStr">
        <is>
          <t>강점 강화 방안, 희망-추천 불일치 이유, 선호 직무 유형 미기재
직업 가치 칸 작성 방식 확인 필요</t>
        </is>
      </c>
    </row>
    <row r="9" ht="170"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통역가(외국인의 대화·발표를 우리말로, 우리말을 외국어로 전달 / 필요 능력: 언어 / 중국어과), 수의사(연구용 실험동물 관리 / 자기성찰능력 / 동물자원학과), 지능형 로봇개발자(뇌구조 기반 AI 알고리즘·프로그램 개발 / 공간지각력 / 기계공학과), 신소재 개발 연구원(실험·시뮬레이션으로 소재 합성·특성 분석 / 논리력 / 재료공학과)
토너먼트: 결승 통역가 vs 수의사 → 최종 '통역가'
선택 이유: '다양한 언어를 번역할 수 있다', '편할 수 있다' / 포기 이유: '어려워할 수 있다'
AI 관련 정도: '직업 윤리를 알 수 있다'</t>
        </is>
      </c>
      <c r="E9" s="5" t="inlineStr">
        <is>
          <t>4차시 검사 결과(교육·언론·식품, 산업안전 등)와 관계없는 직업 4개를 새로 고름 — 4차시 결과와의 연결이 약함.
이 차시부터 '통역가'가 최고 관심 직업으로 자리잡음.</t>
        </is>
      </c>
      <c r="F9" s="5" t="inlineStr">
        <is>
          <t>AI 분석 1문장이 질문 취지(선호 직무유형·가치관과의 관련성)와 다름
미래 명함 페이지(뒷면)는 스캔본에서 비어 있음</t>
        </is>
      </c>
    </row>
    <row r="10" ht="170"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통역가
AI 대체 가능: 공항 안내, 호텔 체크인, 간단한 고객 응대 / 협업: 영상 자막 초안, 계약서 초벌 번역, 기사·매뉴얼 번역 / 대체 불가: 외교 협상 갈등 조정, 의료·심리 상담 통역
체크: '새로운 직업 역할이 생긴다는 게 흥미로웠다'
새로 알게 된 점: '통역가도 AI를 경쟁자가 아니라 도구처럼 활용해야 한다는 점'
키울 역량: 공감 능력(내용만이 아니라 감정과 상황까지 이해), 윤리적 판단력(무엇이 더 인간적으로 올바른지), 감성 지능(상대의 감정을 빠르게 파악)
모둠(화학연구원·교육학연구원·통역가·방송엔지니어·영화감독) 결론: 'AI가 절대 못 하는 건 상황 해결 능력이다'</t>
        </is>
      </c>
      <c r="E10" s="5" t="inlineStr">
        <is>
          <t>1학기 활동지 중 완성도가 가장 높음. 통역가 직업에 대한 AI 영향 분석이 구체적이고 역량 선택 이유도 논리적으로 연결됨.</t>
        </is>
      </c>
      <c r="F10" s="5" t="inlineStr">
        <is>
          <t>지금 당장 시작할 준비 1가지, 미래 명함 업그레이드 미기재</t>
        </is>
      </c>
    </row>
    <row r="11" ht="170"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중국어과 / 관심 대학: 서울대학교
학과 개요: '중국어를 말할 수 있다' / 적성 연결: '중국어를 좋아함'
고교 관련 과목: 중국어 / 대학 주요 교과목: '연세대'
자격증: 없음 / 진출 분야: 중국어 / 전망: '중국 진출 한국 기업 많음'
지금 노력할 것: '열심히 하기'</t>
        </is>
      </c>
      <c r="E11" s="5" t="inlineStr">
        <is>
          <t>5·6차시 통역가와 연결되는 학과를 골라 진로 흐름은 일관됨.
다만 응답이 한두 단어 수준으로 짧고, '대학 주요 교과목' 칸에 대학명을 적는 등 조사가 충분하지 않음.
서울대에는 '중국어과'가 아닌 '중어중문학과'가 있어 학과명 확인 안내가 필요함.</t>
        </is>
      </c>
      <c r="F11" s="5" t="inlineStr">
        <is>
          <t>대학 주요 교과목 칸 작성 오류(대학명 기재)</t>
        </is>
      </c>
    </row>
    <row r="12" ht="170"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자연, 이과대학, 정원 29명): 학생부교과 학교장추천인재 470명·학생부교과 70%·최저 미적용 / 학생부종합 Do Dream 894명·최저 미적용 / 논술 191명·논술 70%·최저 적용 / 정시 나군
반영 교과·과목 수·방법: 미기재
전형별 준비도 별점: 미기재
도전 전형과 선택 이유: 미기재</t>
        </is>
      </c>
      <c r="E12" s="5" t="inlineStr">
        <is>
          <t>조별로 함께 채운 모집요강 부분만 기재했고, 본인의 준비도 점검과 도전 전형 선택 부분은 전부 비어 있음.</t>
        </is>
      </c>
      <c r="F12" s="5" t="inlineStr">
        <is>
          <t>반영 교과, step1 별점, step2 도전 전형 모두 미기재</t>
        </is>
      </c>
    </row>
    <row r="13" ht="170"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통역가 / 희망 학과 중국어과 / 목표 대학 서울대 → 모두 '그대로 유지'
최종 진로 목표: 희망 계열 자연계열, 희망 직업 통역가, 희망 학과 중국어과, 목표 대학 서울대
과목 선택 설계(국·수·영·사·과·기타): 전부 미기재
수시 관심: 학생부 교과 / 정시 관심: 수능 / 2학기 집중 과제: '공부'
2학기 다짐: '잘할 수 있다'</t>
        </is>
      </c>
      <c r="E13" s="5" t="inlineStr">
        <is>
          <t>5→7→8차시 진로 목표(통역가-중국어과-서울대)는 일관되게 유지.
그러나 희망 계열을 '자연계열'로 적어 통역가·중국어과(인문계열), 4차시 선호 계열(인문계열)과 불일치 — 계열 개념 확인 필요.
2·3학년 과목 선택 설계가 통째로 비어 있어 과목 선택 전 개별 확인 권장.</t>
        </is>
      </c>
      <c r="F13" s="5" t="inlineStr">
        <is>
          <t>유지 이유, 과목 선택 설계 전체 미기재
뒷면(과목 선택 점검 10개 항목)은 안내문만 있고 기재 없음</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공과대학 조선해양공학과
학업역량 B&gt;C&gt;A — 이유: 공학 관련 활동이 과제와 연계된 점(일부 판독 어려움)
진로역량 A&gt;C&gt;B / 공동체역량 C&gt;B&gt;A — 이유 미기재
예상 B-C-A → 결과 B-C-A (일치)
느낀 점: '학교생활기록부를 채워야 한다' / 배운 점: '어렵다'</t>
        </is>
      </c>
      <c r="E14" s="5" t="inlineStr">
        <is>
          <t>예상 순위가 실제 결과와 정확히 일치했지만, 이유는 학업역량 한 칸만 짧게 적음.
배운 점에 '어렵다'고 적어 학생부 평가 활동을 어렵게 느낀 것으로 보임.</t>
        </is>
      </c>
      <c r="F14" s="5" t="inlineStr">
        <is>
          <t>진로·공동체역량 이유 미기재</t>
        </is>
      </c>
    </row>
    <row r="15" ht="180"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진로독서
선택 이유: '책을 읽으면서 다양한 것을 알 수 있다'
[A 주제탐구 칸에도 작성] 관심 분야: 가수, (2번 판독 어려움 — '미용사'로 추정), 영상 크리에이터 / 이유·잠정 주제: 미기재
[B 진로독서] 독서 이유: '책을 읽으면서 다양한 것을 안다' / 도서 선정 기준·후보 도서: 미기재
8차시 세부 계획: 미기재 / 다짐·자가점검: 미기재</t>
        </is>
      </c>
      <c r="E15" s="5" t="inlineStr">
        <is>
          <t>1학기 내내 유지한 통역가·중국어과와 전혀 다른 분야(가수·영상 크리에이터)를 관심 분야로 적음 — 관심이 바뀐 것인지 확인 필요.
진로독서를 골랐지만 선택하지 않은 주제탐구 칸을 채웠고, 정작 도서 기준·후보 도서·계획표는 비어 있음 — 트랙별 작성 방법 개별 안내 필요.</t>
        </is>
      </c>
      <c r="F15" s="5" t="inlineStr">
        <is>
          <t>A칸 관심 분야 2번 판독 어려움
도서 선정 기준, 후보 도서, 8차시 계획표, 다짐 미기재</t>
        </is>
      </c>
    </row>
    <row r="16" ht="120" customHeight="1">
      <c r="A16" s="4" t="inlineStr">
        <is>
          <t>P-2</t>
        </is>
      </c>
      <c r="B16" s="5" t="inlineStr">
        <is>
          <t>진로 프로젝트 2차시(트랙별 활동지)</t>
        </is>
      </c>
      <c r="C16" s="5" t="inlineStr">
        <is>
          <t>주제탐구: 탐구계획서 / 진로독서: 도서 선정 / 습관형성: 나를 돌아보고 목표 세우기</t>
        </is>
      </c>
      <c r="D16" s="5" t="inlineStr">
        <is>
          <t>이번 P-2 스캔본(25쪽)에 이 학생의 활동지가 없음</t>
        </is>
      </c>
      <c r="E16" s="5" t="inlineStr">
        <is>
          <t>결석 또는 미제출 여부 확인 필요(진로독서 트랙이므로 도서 선정 활동지).</t>
        </is>
      </c>
      <c r="F16" s="5" t="inlineStr">
        <is>
          <t>P-2 활동지 없음</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양식·진로독서 트랙] 자료 5개 수집(출처가 서비스명만 적혀 있음)
① 블로그: '나이는 정확하게 몇 살인지 성숙의 감으로 다룬다'(판독 추정)
② 브런치: '새벽이 밝았어, 이 말이 무슨 소리인가 하면 야근이라는 뜻이다'(판독 추정)
③ 토니(판독 추정): '운동하는 시간이 점점 적어진다'
④ 넥스트유니콘: '온라인 교육이 적어진다'(판독 추정)
⑤ 브랜코스: '아이디어를 비슷하게 검색'(판독 추정)
나의 생각/메모: '다양한 내용을 알 수 있었다'</t>
        </is>
      </c>
      <c r="E17" s="5" t="inlineStr">
        <is>
          <t>P-1에서 진로독서를 골랐고 P-2(도서 선정) 활동지는 없는데, 이번에는 주제탐구용 '자료 수집' 활동지를 제출함 — 트랙을 바꾼 것인지, 도서 선정이 안 된 채 다른 양식을 낸 것인지 확인 필요.
출처가 블로그·브런치 등 서비스 이름뿐이고 글 제목·저자가 없어 공신력과 탐구 주제와의 연결을 알 수 없음. 요약이 한 문장씩으로 짧고 내용(야근, 온라인 교육 등)의 주제 연결도 불분명함.</t>
        </is>
      </c>
      <c r="F17" s="5" t="inlineStr">
        <is>
          <t>일부 요약 판독 어려움(추정 표기)
출처 제목·저자 미기재</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10802 간보민)</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 선생님께: 'MBTI T처럼 생겼다'(일부 판독 어려움)
자기소개 진진가: '거북이를 키운다 / 물고기를 키운다 / ○○를 키운다', '17시간 이상 자 본 적 있다' 등(일부 판독 어려움)
질문지: 하고 싶은 일을 자신 있게 말할 수 있다·필요한 공부를 알고 노력한다·가족과 이야기·상담 경험 → 모두 '그렇지 않다', 꿈을 위한 노력 → '보통~그렇지 않다'
상담 상대: 선배나 친구 / 진로 결정 시 중요: 나의 소질과 적성, 학업 성적 / 정보 탐색: 인터넷, 유튜브
노력: 틈틈이 정보 수집, 다양한 진로 체험 / 어려운 점: 나의 특성을 몰라서, 생각하는 진로가 너무 많아서, 정보 탐색이 어려워서
진로수업에 바라는 것: MBTI 등 검사 해 보기(일부 판독 어려움)
약속: ★연결 — 미래와 꿈을 생각하며 진로를 정하고 싶어서(일부 판독 어려움)
깨달은 점: '진로 관련 다양한 프로그램들이 있다' / 다섯 글자: '힘을 내보자'</t>
        </is>
      </c>
      <c r="E5" s="5" t="inlineStr">
        <is>
          <t>학기 초 진로 자신감 문항이 대부분 '그렇지 않다'로, 진로가 정해지지 않은 상태에서 출발함. 이후 화학 계열로 점차 구체화되는 흐름이 뚜렷함(1학기 최종 참고).</t>
        </is>
      </c>
      <c r="F5" s="5" t="inlineStr">
        <is>
          <t>자기소개·약속 이유 일부 판독 어려움</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정확히 작성: 정시=수능, 학생부교과/학생부종합, 수능 최저, 5등급제·상위 10%, 지필+수행, 수행평가, 192학점, 희망 진로, 1학년 여름방학, 과정, 세특(세부능력 및 특기사항), 수업에 적극적으로 참여(발표·질문·과제), 자율·동아리·행동특성 및 종합의견, 공통·통합사회/통합과학, 내신·생기부, 역전, 주도성
활동 후 다짐: 미기재</t>
        </is>
      </c>
      <c r="E6" s="5" t="inlineStr">
        <is>
          <t>영상 핵심 내용을 빠짐없이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계산식도 기재)
100점 동점자 50명 → 전원 2등급 / 대학이 깊게 보는 항목 → 과목별 세부능력 및 특기사항 / 세특 확인 → 2학년 진급 후 가능
1등급 28명에 대한 느낀 점: 미기재
목표 점수: 국어 62, 수학 41, 영어 52, 한국사 54, 통합사회 62, 통합과학 58
시험 계획: 통합과학만 4/9~4/20 매일 단원별 '외우고 문제 풀기'로 구체적으로 작성</t>
        </is>
      </c>
      <c r="E7" s="5" t="inlineStr">
        <is>
          <t>계산 문항 전부 정답. 목표 점수를 현실적으로 설정함.
시험 계획이 통합과학에만 집중되어 있어 다른 과목 계획은 비어 있음(진로 관심 과목과 연결).</t>
        </is>
      </c>
      <c r="F7" s="5" t="inlineStr">
        <is>
          <t>느낀 점, 통합과학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②용감성(안중근 / 위기협상 전문가·소방관·경찰관) ③끈기(세종대왕 / 문화재 보존 전문가·운동선수·연주가·동물사육사 등)
핵심 강점: 용감성 — 연관 단어: 안중근, 책임의식, 멋짐, 당당함, 용기, 자발적, 극복, 담대함 / 강화 방안: 도전에 끝까지 임하기, 도전 많이 하기(일부 판독 어려움)
MIT 희망 전공: 화공·재료, 바이오·화학, 식품·요리 / 추천 전공: 바이오·화학, 화공·재료, 전기·전자·컴퓨터
가장 선호하는 계열: 자연계열
불일치 이유: 화공·재료와 바이오·화학은 순위만 다르고, 식품·요리 대신 전기·전자가 나온 것 같다는 취지(일부 판독 어려움)
선호 직무 유형: 연구자형 / 직업 가치: 안정성, 사회적 인정, 경제적 보상</t>
        </is>
      </c>
      <c r="E8" s="5" t="inlineStr">
        <is>
          <t>희망 전공과 추천 전공이 2개(화공·재료, 바이오·화학) 일치 — 자기 이해와 검사 결과가 잘 맞음.
연구자형·자연계열로 이후 화학연구원 선택과 자연스럽게 연결됨.</t>
        </is>
      </c>
      <c r="F8" s="5" t="inlineStr">
        <is>
          <t>강화 방안·불일치 이유 일부 판독 어려움(글씨가 작음)</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화학연구원(새 화학물질 개발·기존 물질 성능 개선 / 자연과학 지식, 논리·분석력, 창의적 문제해결 / 바이오·화학·화공 관련), 위기협상 전문가(인질·테러 등 위기 상황에서 대화로 문제 해결 / 감정조절, 소통, 상황판단 / 경찰행정학과·심리상담학과), 동물사육사(동물 먹이·건강·사육환경 관리 / 동물 친화력·체력·인내심 / 동물생명공학과·반려동물학과), 요리사(식재료 손질·조리 / 조리 기술·미각·메뉴 기획 / 외식조리과·식품영양학과·호텔조리과)
토너먼트: 결승 화학연구원 vs 요리사 → 최종 '화학연구원'
선택 이유: 물질의 성분과 특성을 알아가고 실험하는 것이 흥미로워서(일부 판독 어려움) / 포기 이유(요리사): 화학에 비해 흥미가 덜함(일부 판독 어려움)
AI 관련 정도: 화학연구원은 끊임없는 연구·실험이 필요해 연구자형과 맞고, 안정적 고용·사회적 인정·경제적 보상까지 기대할 수 있는 직업</t>
        </is>
      </c>
      <c r="E9" s="5" t="inlineStr">
        <is>
          <t>4차시 결과(연구자형, 바이오·화학, 식품·요리)가 관심 직업 목록에 그대로 반영됨 — 차시 간 연결이 좋음.
직업 정보 표를 빽빽하게 채우는 등 작성 성실도가 높음.</t>
        </is>
      </c>
      <c r="F9" s="5" t="inlineStr">
        <is>
          <t>토너먼트 선택·포기 이유 글씨가 작아 일부 판독 어려움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화학연구원
AI 대체 가능: 실험 데이터 분석·정리, 신물질 후보 탐색, 기존 문헌 조사 및 보고서 초안 / 협업: 실험 설계 최적화, 자동 실험 운영, 예측 기반 연구 / 대체 불가: 완전히 새로운 연구 아이디어 창출, 윤리·안전 판단, 종합적 문제 해결과 리더십
새로 알게 된 점: AI가 생각보다 큰 역할을 한다는 점, 그런데 새로운 연구 아이디어 창출은 못 한다는 점이 놀라웠다
키울 역량: 종합적 문제 해결(실험 중 문제가 생기면 바로 해결), 안전 판단(실험 시 위험 요소 판단), 창의력(새로운 아이디어 창출)
지금 시작할 준비: '새로운 실험 아이디어 생각해 보기'
모둠(화학연구원·교육학연구원·통역가·방송엔지니어·영화감독) 결론: 'AI가 절대 못 하는 건 상황 해결 능력이다'</t>
        </is>
      </c>
      <c r="E10" s="5" t="inlineStr">
        <is>
          <t>AI 분석과 역량 선택이 실험·연구 현장에 맞게 구체적임. '준비 1가지'까지 작성해 완성도 높음.</t>
        </is>
      </c>
      <c r="F10" s="5" t="inlineStr">
        <is>
          <t>STEP3 체크 항목, 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화학과 / 관심 대학: 경희대학교(판독 추정)
학과 개요: 물질의 구조·성질·변화를 탐구하고 새로운 물질을 만드는 원리를 배우는 학과라는 취지로 길게 작성(일부 판독 어려움)
적성 연결: 과학에 관심이 많고 실험 결과를 분석하는 데 흥미를 느낌(일부 판독 어려움)
고교 관련 과목: 화학 반응의 세계, 물리학, 화학 / 대학 주요 교과목: 물리화학, 분석화학, 유기화학
자격증: 화공기사 / 진출 분야: 석유화학회사, 화장품 제조회사 등 / 전망: 취업률 66%
지금 노력할 것: 화학·물리 개념을 잘 이해하고 문제를 많이 풀어보며 공부하기</t>
        </is>
      </c>
      <c r="E11" s="5" t="inlineStr">
        <is>
          <t>모든 칸을 채웠고 대학 교과목·자격증·취업률까지 실제 조사한 흔적이 있음. 5·6차시 화학연구원과 일관된 학과 선택.</t>
        </is>
      </c>
      <c r="F11" s="5" t="inlineStr">
        <is>
          <t>글씨가 매우 작아 학과 개요·적성 연결 일부 판독 어려움</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학생부교과(학교장추천) 학생부교과 70%·서류 30%, 최저 미적용 / 학생부종합(Do Dream) 서류 100% → 면접 포함 단계별 전형, 최저 미적용 / 논술 학생부 30%·논술 70%, 최저 적용 / 정시 나군 수능 80%·학생부 평가 20%, 최저 미적용(일부 판독 어려움)
반영 교과: 국어·수학·영어·사회·과학 등 / 반영 과목 수: 상위 10과목, 논술은 공통과목 제외 상위 10과목(일부 판독 어려움)
전형별 준비도 별점: 미기재 / 도전 전형·선택 이유: 미기재</t>
        </is>
      </c>
      <c r="E12" s="5" t="inlineStr">
        <is>
          <t>조별 모집요강 분석과 반영 교과까지는 채웠으나, 본인 준비도 점검과 도전 전형 선택은 비어 있음.</t>
        </is>
      </c>
      <c r="F12" s="5" t="inlineStr">
        <is>
          <t>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화학연구원 / 희망 학과 응용화학과 / 목표 대학·계열 화학·화공계열, 경희대학교 → 모두 '그대로 유지'
유지 이유: 아직 다른 진로를 찾지 못했고, 이것 말고 다른 무엇을 할지 모르겠어서 변화가 없다는 취지(일부 판독 어려움)
최종 진로 목표: 화학·화공계열 / 화학연구원 / 응용화학과 / 경희대학교
과목 설계: 국어(논술) 주제탐구독서(2학년·일반) / 수학(계열 필요) 기하(2학년·진로) / 영어(영어 읽기) 세계 문화와 영어(2학년·일반) / 사회 현대사회와 윤리(2학년·일반) / 과학(계열 필수) 물리학·화학·지구과학(2학년·진로)
수시 관심: 학생부종합 / 정시: 미체크 / 2학기 집중 과제: 수학·과학 공부
2학기 다짐: '수학, 과학 공부 위주로 열심히 하기'</t>
        </is>
      </c>
      <c r="E13" s="5" t="inlineStr">
        <is>
          <t>5→7→8차시 진로 목표(화학연구원-화학/응용화학과-화학·화공계열)가 일관되게 유지되고, 과목 선택 설계도 계열에 맞게 거의 모두 채움 — 학급에서 진로 흐름이 가장 뚜렷한 편.
7차시엔 '화학과', 최종엔 '응용화학과'로 적어 세부 학과는 확인 필요.
유지 이유가 '다른 진로를 아직 못 찾아서'라는 소극적 표현이라 상담 시 확신 정도 확인 권장.
2-2에서는 본인 계열과 다른 컴퓨터공학부 사례를 평가함.</t>
        </is>
      </c>
      <c r="F13" s="5" t="inlineStr">
        <is>
          <t>정시 관심 전형 미체크, 기타(정보·제2외국어) 과목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공과대학 컴퓨터공학부
학업역량 C&gt;B&gt;A — 이유: C는 자기 학과와 맞는 활동과 과제 관련 활동을 많이 했기 때문
진로역량 A&gt;C&gt;B — 이유: 여러 탐구활동을 스스로 찾아서 하며 부족한 부분을 발전시켜 옴(일부 판독 어려움)
공동체역량 B&gt;A&gt;C — 이유: 동아리활동 및 학급 임원 활동을 잘 해냄
예상 미기재 → 결과 C-A-B
느낀 점: 입학사정관은 다양하게 봐야 하지만, 다른 사람의 생기부를 보고 같이 이야기해 보니 좋았다
배운 점: A처럼 스스로 예습·복습하고 자신의 단점을 보완하려는 모습</t>
        </is>
      </c>
      <c r="E14" s="5" t="inlineStr">
        <is>
          <t>세 역량 모두 이유를 적었고 A 학생의 자기주도적 학습 태도를 배울 점으로 짚음.</t>
        </is>
      </c>
      <c r="F14" s="5" t="inlineStr">
        <is>
          <t>조별 예상 결과 미기재
진로역량 이유 일부 판독 어려움</t>
        </is>
      </c>
    </row>
    <row r="15" ht="222"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
선택 이유: 식품영양에 대한 관심과 흥미가 생겨, 직접 조사하며 더 알아가고 싶어서
관심 분야: 식품영양학과, 식물자원학과(판독 추정), 동물자원학과
그렇게 생각한 이유: 동생들 밥을 챙겨주면서 식품·요리에 대한 관심이 생김
잠정 탐구 주제: 식품이 식생활에 미치는 영향
주제 선택 이유: 식품의 여러 영양분이 각각 무슨 역할을 하는지 궁금해서
8차시 계획: 2차시 주제 선정 및 계획서 → 3차시 자료수집·자료분석 → 4차시 심화탐구 → 5차시 발표 자료 정리 및 기록 → 6차시 PPT 만들기 → 7차시 완성 후 친구들에게 피드백 받기
다짐·자가점검: 미기재</t>
        </is>
      </c>
      <c r="E15" s="5" t="inlineStr">
        <is>
          <t>1학기 최종 목표(화학연구원·응용화학과)에서 식품영양 쪽으로 관심이 옮겨감 — 동생을 돌본 생활 경험이 계기로 구체적임.
8차시 계획을 차시별로 모두 채워 계획성이 보임.</t>
        </is>
      </c>
      <c r="F15" s="5" t="inlineStr">
        <is>
          <t>관심 분야 2번 판독 추정
다짐·자가점검 미기재</t>
        </is>
      </c>
    </row>
    <row r="16" ht="194"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김하랑(10808)과 2인 1조
핵심 탐구 질문: 유아의 건강한 성장을 위해 영양식품은 왜 중요하며, 영양교육은 유아의 건강한 식습관 형성에 어떤 영향을 미치는가?
하위 질문 ①: 유아기의 균형 잡힌 영양 섭취가 신체 성장과 두뇌 발달에 어떤 영향을 미치는가?
하위 질문 ②: 유아의 건강한 성장에 필요한 주요 영양소와 이를 포함한 식품에는 무엇이 있는가?
하위 질문 ③: 유아교육에서 올바른 식습관과 영양교육이 중요한 이유는 무엇이며, 실제 교육에서는 어떻게 이루어지는가?
활용할 자료원: 보건복지부·교육부 자료, 질병관리청, 식품의약품안전처 자료 등</t>
        </is>
      </c>
      <c r="E16" s="5" t="inlineStr">
        <is>
          <t>짝(김하랑, 유아교육 희망)과 주제를 합치면서 1차시 '식품이 식생활에 미치는 영향'이 '유아 영양·영양교육'으로 바뀜 — 본인 관심(식품영양)과 짝의 관심(유아교육)을 연결한 융합 주제.
하위 질문이 핵심 질문을 잘 뒷받침하고 공공기관 자료원을 구체적으로 적음.</t>
        </is>
      </c>
      <c r="F16" s="5" t="inlineStr">
        <is>
          <t>글씨가 작아 일부 단어는 김하랑 활동지와 대조해 정리</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4개 수집
① 농식품정보누리: 어린 시절부터 편식하면 성장 발달에 악영향을 줄 수 있는 반면, 편식을 안 하면 성장과 두뇌 활동에 도움이 된다.
② National Library of Medicine: 유아기의 균형 잡힌 영양 섭취는 신체 성장에 필요한 영양분을 공급하고, 특히 철분·미량영양소를 충분히 섭취하면 두뇌·인지 발달에 긍정적 영향을 준다.
③ 질병관리청 국가건강정보포털: 우유나 기타 동물성 식품 등에 단백질·무기질·비타민 등이 들어 있다.
④ 교육부: 유아기 영양교육은 건강한 식습관을 형성하고 올바른 식생활을 실천하도록 돕기 때문에, 실제 교육에서는 이야기·놀이·그림자료 등 다양한 활동으로 이루어진다.
나의 생각/메모: 자료를 조사하며 몰랐던 것을 더 많이 알게 되었고, 어릴 때부터 식습관을 잘 들이는 것이 중요하다고 생각함.</t>
        </is>
      </c>
      <c r="E17" s="5" t="inlineStr">
        <is>
          <t>P-2 하위 질문(성장·두뇌 발달 / 주요 영양소 / 영양교육)과 자료가 하나씩 대응되고, 정부·국제기관 자료로 출처의 신뢰도가 높음. 짝 김하랑과 같은 주제를 다른 자료로 조사함.</t>
        </is>
      </c>
      <c r="F17" s="5" t="inlineStr">
        <is>
          <t>자료 ⑤ 미기재</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10803 김가빈)</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2(MBTI), 2번 2(강서고)
자기소개 진진가: '난 INFP다 / 난 파란색(빨간색)을 좋아한다 / 난 집에 있는 걸 좋아한다'
질문지: 자신 있게 말할 수 있다·노력하고 있다·필요한 공부를 안다 → '그렇다', 가족과 이야기·상담 경험 → '매우 그렇다'
상담 상대: 부모나 친척 / 진로 결정 시 중요: 나의 소질과 적성 / 정보 탐색: 유튜브·부모님 말씀
노력: 틈틈이 정보 수집 / 어려운 점: 생각하는 진로가 너무 많아 선택하기 어려워서
진로수업에 바라는 것: 'X'
약속: ★완벽(이유 미기재)
깨달은 점: '적극적인 수업 태도로 해야겠다는 다짐' / 다섯 글자: '화이팅하자'</t>
        </is>
      </c>
      <c r="E5" s="5" t="inlineStr">
        <is>
          <t>진로 자신감 문항이 전반적으로 긍정적이고 가족과 진로 대화를 많이 나눈다고 응답함.
어려운 점으로 '진로가 너무 많아 선택이 어렵다'를 꼽음.</t>
        </is>
      </c>
      <c r="F5" s="5" t="inlineStr">
        <is>
          <t>약속 이유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대부분 정확히 작성: 정시=수능, 학생부교과/학생부종합, 수능 최저학력, 5등급제·상위 10%, 수행+지필, 수행평가, 192학점, 진로, 1학년 여름방학, 과정, 교과학습발달상황/세특, 적극적인 태도, 자율자치·동아리·행동특성 및 종합의견, 공통·통합사회/통합과학, 내신·생기부, 역전, 능동적인(주도적)
활동 후 다짐: '시험 준비 열심히 해라'</t>
        </is>
      </c>
      <c r="E6" s="5" t="inlineStr">
        <is>
          <t>영상 내용을 꼼꼼히 받아 적고 메모까지 추가함.</t>
        </is>
      </c>
      <c r="F6" s="5" t="inlineStr">
        <is>
          <t>-</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소수점까지 계산)
100점 동점자 50명 → 2등급 / 대학이 깊게 보는 항목 → 과목별 세부능력 및 특기사항 / 세특 확인 → 2학년 진급 후 가능(영상 내용과 다름 주의까지 메모)
1등급 28명에 대한 느낀 점: '개빡세다'
목표 점수: 국어 80, 수학 90, 영어 90, 한국사 80, 통합사회 100, 통합과학 90
시험 계획: 4/8~4/20 6과목 모두 날짜별로 작성(국어 매일 문제풀이, 수학 프린트, 영어 모의고사·본문·대화문, 한국사 개념완성, 통합사회 단원별→최종복습, 통합과학 교과서·부교재)</t>
        </is>
      </c>
      <c r="E7" s="5" t="inlineStr">
        <is>
          <t>계산 전부 정답. 6과목 시험 계획을 매일 빠짐없이 세워 학급에서 가장 구체적인 계획표 중 하나.
목표 점수를 높게 설정함(통합사회 100점).</t>
        </is>
      </c>
      <c r="F7" s="5" t="inlineStr">
        <is>
          <t>-</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②호기심(알베르트 아인슈타인 / 로봇공학자·과학자·기자·여행작가 등) ③감사(소크라테스 / 영성지도자·시인 등)
핵심 강점: 긍정성 — 연관 단어: 밝음, 좋은 관계, 웃음, 행복, 햇님, 도전성, 평온, 낙관적 / 강화 방안: '받아들일 줄 아는 태도', '좋아하는 생각과 행동'
MIT 희망 전공: 언론·홍보, 사회·심리, 주거(인테리어 계열) / 추천 전공: 사회·심리(사회학연구원·심리학연구원), 주거·의류(실내장식·의상 디자이너), 건축·토목
가장 선호하는 계열: 사회계열
불일치 이유: 미기재
선호 직무 유형: 돌봄형 / 직업 가치: 안정성, 경제적 풍족, 사회적 인정</t>
        </is>
      </c>
      <c r="E8" s="5" t="inlineStr">
        <is>
          <t>희망 전공과 추천 전공이 사회·심리, 주거 계열에서 겹침. 이 단계에서는 '교육'이 등장하지 않았지만 돌봄형·사회·심리 관심이 이후 교육학 선택으로 이어짐.</t>
        </is>
      </c>
      <c r="F8" s="5" t="inlineStr">
        <is>
          <t>희망-추천 불일치 이유 미기재</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헤드헌터(기업이 원하는 인재를 찾아 연결 / 분석력·협상능력·설득력·친화성 / 경영·국제·사회·심리·교육학과), 빅데이터 전문가(데이터 속 정보를 분석해 행동 패턴·시장 예측 / 프로그래밍·데이터 처리·통계 / 컴퓨터공학·소프트웨어·문헌정보학과), 자동차 디자이너(자동차 외관·인테리어 디자인 / 창의력·미적감각·공간지각 / 산업·공업·제품디자인학과), 교육학연구원(교육 제도·과정·방법 등 교육 전반 연구·개선 / 사명감·문서작성·비판적·논리적 사고 / 교육학과·교육심리학과·교육공학과)
토너먼트: 결승 교육학연구원 vs 빅데이터 전문가 → 최종 '교육학연구원'
선택 이유: '미래교육에 관심이 많다', '미래교육을 위한 연구를 하고 싶다' / 빅데이터 전문가 포기 이유: 좋은 직업이지만 미래교육 개발과 방법이 우선으로 끌린다
AI 관련 정도: '맞는 직업이지만 최선의 직업은 아니라고 했다. 관련 정도가 70%, 낮지도 높지도 않은 퍼센트다'</t>
        </is>
      </c>
      <c r="E9" s="5" t="inlineStr">
        <is>
          <t>'미래교육'이라는 분명한 관심 키워드가 처음 등장. AI 분석 결과(70%)를 비판적으로 받아들임.</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교육학연구원
AI 대체 가능: 대규모 데이터 처리·분석, 문헌 연구 및 정보 요약, 반복적 보고서 작성 / 협업: 교육정책 시뮬레이션, 맞춤형 교육 프로그램 개발, 연구 설계 및 방법론 지원 / 대체 불가: 문제 정의 및 연구 질문 설정, 교육적 공감과 윤리적 판단, 복잡한 이해관계 조율
체크: '내 생각이 AI 답과 거의 같았다'
놀란 점: ''10년치 교육 데이터'를 30초 만에 해석하는 AI'
키울 역량: 무엇을 연구할지 정의하는 능력(AI는 주어진 문제만 해결), 창의적·감성적 소통(인간의 영역), AI 협업 디지털 리터러시(AI를 대체재가 아닌 강력한 도구로 활용)
모둠(화학연구원·교육학연구원·통역가·방송엔지니어·영화감독) 결론: 'AI가 절대 못 하는 건 상황 해결 능력이다'</t>
        </is>
      </c>
      <c r="E10" s="5" t="inlineStr">
        <is>
          <t>AI 시대 연구자의 역할을 '연구 질문 설정'으로 정확히 짚는 등 분석 수준이 높음.</t>
        </is>
      </c>
      <c r="F10" s="5" t="inlineStr">
        <is>
          <t>지금 시작할 준비 1가지, 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교육심리학과(지움) → 교육학과 / 관심 대학: 이화여대
학과 개요: 사람은 어떻게 배우는가, 좋은 교육은 무엇인가, 학교와 사회는 어떻게 연결되는가 같은 교육 전반을 폭넓게 배움
적성 연결: 친구 상담, 철학적인 이해와 생각, 사람·배움·사회문제에 관심 있는 나 — '저 사람이 왜 저렇게 행동할까' 궁금했던 적이 많다
고교 관련 과목: 영어, 국어, 사회 계열(사회와 문화, 정치와 법, 생활과 윤리, 윤리와 사상)
대학 주요 교과목 칸: 상담·소통·배려 능력, 글쓰기·발표·토론 능력, 사회문제·교육이슈 관심(과목명 대신 필요 역량을 적음)
자격증: 전문상담교사 관련 과정, 평생교육사, 중등학교 정교사 2급 / 진출: 학교·교육기관, 기업 HRD, 에듀테크, 교육 콘텐츠 / 전망: 대학원 진학·임용 준비 등 52%, 교직·교육행정·상담 분야 진출
지금 노력할 것: 성적 관리, 국어·영어·사회·수학, 교육 관련 탐구 습관, 독서</t>
        </is>
      </c>
      <c r="E11" s="5" t="inlineStr">
        <is>
          <t>모든 칸을 충실히 채웠고 자신의 성향(사람의 행동에 대한 궁금증)을 학과와 연결함.
'대학 주요 교과목' 칸에는 교과목명 대신 필요 역량을 적음.</t>
        </is>
      </c>
      <c r="F11" s="5" t="inlineStr">
        <is>
          <t>대학 주요 교과목 칸 작성 방식 확인 필요</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학생부교과·학생부종합의 전형 방법을 적은 뒤 화살표로 위치를 바로잡음(교과: 학생부교과 70%·서류 30% / 종합: 1단계 서류 100%, 2단계 1단계 성적 60%·면접 40%), 최저 교과·종합 미적용, 논술 학생부 30%(교과 20·출결 10)·논술 70%·최저 적용, 정시 수능·실기 비율 메모(수정 흔적 많음)
반영 교과·과목 수·방법: 미기재
전형별 준비도 별점: 미기재 / 도전 전형·선택 이유: 미기재</t>
        </is>
      </c>
      <c r="E12" s="5" t="inlineStr">
        <is>
          <t>모집요강 표는 스스로 오류를 찾아 수정하며 채웠으나, 본인 경쟁력 점검(step1·2)은 비어 있음.</t>
        </is>
      </c>
      <c r="F12" s="5" t="inlineStr">
        <is>
          <t>반영 교과, step1 별점, step2 도전 전형 미기재
정시 칸 수정 흔적이 많아 판독 어려움</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교육학연구원 → '부분 수정' / 희망 학과 심리학과 → '부분 수정' / 목표 계열 교육계열 → '그대로 유지'
바뀐 이유: '내가 어느 부분에서 자세히 전공하고 싶은지, 배우고 싶은지 알아보면서 순차적으로 바뀐 것 같다'
최종 진로 목표: 교육계열 / 미래교육학연구원 / 교육공학과 / 이화여대
과목 설계: 국어(교육 콘텐츠) 화법과 언어·독서와 작문 / 수학(데이터·AI) 대수·미적분Ⅰ·확률과 통계 / 영어 영어Ⅰ·영어Ⅱ / 사회(교육정책 시스템) 사회와 문화·현대사회와 윤리 / 과학(학습자·인지·뇌) 생명과학 / 기타 정보·컴퓨터
수시 관심: 학생부종합 / 정시 관심: 실기/실적 / 2학기 집중 과제: 이과 과목
2학기 다짐: '자 의욕 좀 살립시다'</t>
        </is>
      </c>
      <c r="E13" s="5" t="inlineStr">
        <is>
          <t>교육학연구원 → 교육학과 → '미래교육학연구원·교육공학과'로 관심이 구체화됨. 과목마다 진로 연결 포인트(데이터·AI, 학습자·인지·뇌)를 적어 과목 설계 완성도가 매우 높음.
정시 관심 전형을 '실기/실적'으로 체크했는데 교육계열과 맞지 않아 확인 필요.
7차시엔 '심리학과'를 적었다고 회상했지만 실제 1-7 활동지는 '교육학과'임.
2-2에서 합격생 학생부와 비교하며 '제가 초라해 보여요'라고 적은 점과 함께 보면, 목표 의식은 높지만 자기 평가에서는 위축되는 모습이 있어 상담 시 참고.</t>
        </is>
      </c>
      <c r="F13" s="5" t="inlineStr">
        <is>
          <t>정시 관심 전형 체크 확인 필요</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컴퓨터공학부(활동지 상단에 '소비자아동학부 소비자학전공' 메모도 있음)
학업역량 C&gt;A&gt;B — 이유: C는 내신 1.00 이하의 압도적 성취도를 보였고, A·B도 우상향했지만 C는 취약 단원까지 보충하며 깊이 탐구한 점이 인상 깊었다
진로역량 A&gt;C&gt;B — 이유: A는 동아리활동 등에서 컴퓨터 관련 탐구를 꾸준히 이어감(일부 판독 어려움)
공동체역량 A&gt;C&gt;B — 이유: A는 봉사·배려 등 공동체 활동이 드러남(일부 판독 어려움)
예상 '〃'(판독 어려움) → 결과 미기재
느낀 점: '너무 다 학업도 좋고 생기부도 좋고 세특도 좋고 다 좋아서 너무 제가 초라해 보여요'
배운 점: '앞으로 더 열심히 해야겠다'</t>
        </is>
      </c>
      <c r="E14" s="5" t="inlineStr">
        <is>
          <t>이유를 매우 길고 구체적으로 작성함(성취도 추이·보충 학습까지 짚음).
느낀 점에 '제가 초라해 보여요'라고 적어 합격생과 자신을 비교하며 자신감이 낮아진 모습이 보임 — 상담 시 참고.</t>
        </is>
      </c>
      <c r="F14" s="5" t="inlineStr">
        <is>
          <t>예상·결과 순위 칸 판독 어려움/미기재
평가 사례 학과 표기 2개(확인 필요)</t>
        </is>
      </c>
    </row>
    <row r="15" ht="13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
선택 이유: '좀 더 깊고 넓게 내 성향에 맞는 진로를 탐구해보고 싶다'
관심 분야: 심리학과, 컨설턴트, 인사담당자
그렇게 생각한 이유: 어릴 때부터 심리에 관심이 많았고, 심리에 관한 일을 할 때 흥미와 재미를 느낀 적이 많아서
잠정 탐구 주제·주제 선택 이유: 미기재
8차시 계획·다짐·자가점검: 미기재</t>
        </is>
      </c>
      <c r="E15" s="5" t="inlineStr">
        <is>
          <t>1학기의 헤드헌터(1-5)·심리학과(최종)와 이어지는 관심 분야를 골라 진로 흐름이 일관됨.
1차시에는 잠정 주제와 계획표가 비어 있었지만 2차시 탐구계획서는 매우 충실하게 작성함.</t>
        </is>
      </c>
      <c r="F15" s="5" t="inlineStr">
        <is>
          <t>잠정 탐구 주제, 주제 선택 이유, 8차시 계획표, 다짐 미기재</t>
        </is>
      </c>
    </row>
    <row r="16" ht="222"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개인('with me'라고 적음)
핵심 탐구 질문: 수면 시간이 청소년의 정서 상태에 어떤 영향을 미칠까?
하위 질문 ①: 한국 고등학생은 실제로 얼마나 자고 있을까? — 청소년 평균 수면시간과 연도별 변화, 의학적 권장 수면 대비 부족한 시간
하위 질문 ②: 수면과 정서에는 어떤 연결이 있을까? — 수면 부족 학생과 정상 수면 학생의 스트레스 인지 차이, 수면시간과 우울감의 상관관계, 수면시간에 따른 주관적 행복도 차이
하위 질문 ③: 어떤 요인이 차이를 만들까? — 성별에 따른 차이, 주중·주말 수면시간 차이가 정서 상태에 미치는 영향
활용할 자료원: 대한수면의학회, 국가정신건강정보포털, KCI, 정신의학신문, ScienceON 등</t>
        </is>
      </c>
      <c r="E16" s="5" t="inlineStr">
        <is>
          <t>학급에서 가장 구체적인 탐구계획서 중 하나 — 하위 질문마다 세부 질문을 2~3개씩 달고 학술 자료원(KCI·ScienceON)까지 제시함.
심리 분야 관심과 직접 연결된 주제.</t>
        </is>
      </c>
      <c r="F16" s="5" t="inlineStr">
        <is>
          <t>세부 질문 일부 단어 판독 추정</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5개 수집(출처 ②는 활동 중 '추가됨'으로 표시)
① 대한수면의학회: 수면 총량이 부족하면 정서적 악화가 오고, 정서적 악화가 있으면 수면 문제가 생긴다(우울증·조울증·불안·치매 등 언급).
② 대한불안의학회(추가): 청소년 수면시간과 우울·자살생각의 관계, 고등학생은 수면시간이 매우 부족하다는 조사 결과(수치는 판독 추정).
③ Science ON(KISTI): 스트레스·걱정이 높을수록 수면의 질이 나빠지고 스트레스는 수면 악화로 이어짐.
④ KCI: 청소년 7만여 명 조사 — 적정 수면을 유지할 때 행복감이 가장 높고 스트레스·우울·자살생각이 낮으며, 수면 부족은 정신건강 악화와 직접 관련됨.
⑤ 국가정신건강정보포털: 감정·뇌 기능과 수면의 관계, 자극조절법·수면제한법 등 수면 관리 방법(일부 판독 어려움).
나의 생각/메모: 자료에서 추천한 자극조절법·수면제한법을 직접 시행해 영향을 봐보고 싶다(판독 추정).</t>
        </is>
      </c>
      <c r="E17" s="5" t="inlineStr">
        <is>
          <t>P-2 하위 질문 ①(수면시간 현황)·②(수면-정서)·③(요인)에 맞춰 학술·공공기관 자료(KCI, ScienceON 등 계획서의 자료원)를 그대로 수집함 — 학급에서 가장 계획적인 조사. 자료를 읽고 자기 생활에 적용해 보겠다는 메모가 있음.</t>
        </is>
      </c>
      <c r="F17" s="5" t="inlineStr">
        <is>
          <t>⑤ 요약 일부 판독 어려움
메모 일부 판독 추정</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10804 김규리)</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'나는 외동이다 / 나는 17월생이다 / 나는 파란색을 좋아한다'
질문지: 자신 있게 말할 수 있다·필요한 공부를 알고 노력한다 → '그렇다', 꿈을 위한 노력 → '보통', 가족과 이야기·상담 경험 → '매우 그렇다'
상담 상대: 교사, 부모나 친척 / 진로 결정 시 중요: 나의 소질과 적성, 부모님 의견, 학업 성적, 가정의 경제 사정(복수 체크) / 정보 탐색: 인터넷
노력: 틈틈이 정보 수집 / 어려운 점(기타): '내 적성과 소질 등에 맞는 걸 찾기 어려워서'
약속: ★적극(이유 미기재)
깨달은 점·다섯 글자 다짐: 미기재</t>
        </is>
      </c>
      <c r="E5" s="5" t="inlineStr">
        <is>
          <t>진로 결정 요인에 성적·부모님 의견·경제 사정까지 여러 가지를 함께 체크함.
'적성에 맞는 걸 찾기 어렵다'는 고민이 1학기 최종에서 진로를 크게 바꾼 이유와 이어짐.</t>
        </is>
      </c>
      <c r="F5" s="5" t="inlineStr">
        <is>
          <t>퀴즈 정답, 약속 이유, 깨달은 점, 다섯 글자 다짐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정시=수능, 학생부교과/학생부종합, 수능 최저, 5등급제, 수행+지필, 192학점, 진로, 1학년 여름방학, 교과세특, 적극성, 자율자치·동아리·행동특성 및 종합의견, 통합사회/통합과학, 내신·생기부, 역전, 주도성
오답: 수행평가 비중 빈칸을 '지필'로, 학종 정성평가 대상 '과정'을 '학생부'로, 수능 '공통'을 '필수'로 적음
1등급 기준 %: 미기재 / 활동 후 다짐: 미기재</t>
        </is>
      </c>
      <c r="E6" s="5" t="inlineStr">
        <is>
          <t>대부분 맞게 적었지만 수행평가 비중 등 일부 핵심 개념을 잘못 적음 — 내신 구조 재확인 필요.</t>
        </is>
      </c>
      <c r="F6" s="5" t="inlineStr">
        <is>
          <t>1등급 기준 %, 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'모두 정답' 도장)
100점 동점자 50명 → 10% 초과로 전원 2등급 / 대학이 깊게 보는 항목 → 과목별 세부능력 및 특기사항 / 세특 확인 → 2학년 진급 후 가능
1등급 28명에 대한 느낀 점: 미기재
목표 점수: 국어 80, 수학 40, 영어 70, 한국사 90, 통합사회 80, 통합과학 60
시험 계획: 한국사만 4/12~4/20 시대별 노트 정리·문제풀이로 작성</t>
        </is>
      </c>
      <c r="E7" s="5" t="inlineStr">
        <is>
          <t>계산 문항 전부 정답. 목표 점수에서 수학(40)·과학(60)이 낮고 한국사·사회가 높아 인문·사회 쪽 강점이 드러남.
계획표는 한국사에만 집중.</t>
        </is>
      </c>
      <c r="F7" s="5" t="inlineStr">
        <is>
          <t>느낀 점, 한국사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①도덕성(임마누엘 칸트 / 의약품 인허가 전문가·초중고 교사·판사) ②끈기(세종대왕 / 운동선수·연주가·동물사육사 등) ③원만성(넬슨 만델라 / 국제 협상 전문가·외교관·인사 전문가(HR))
핵심 강점: 원만성 — 연관 단어: 타협, 조화, 평화, 유연성, 용서, 원활, 화합, 화해
강화 방안: '사람들과 의사소통을 자주 하고 그 안에서 여러 문제들을 유연하게 해결하는 능력을 길러야 할 것 같다', '사람을 이해하기(관련 책 많이 보기)'
MIT 희망 전공: 경영·경제, 정치·국제, 사학·철학 / 추천 전공: 사학·철학, 정치·국제, 경영·경제(순서만 다르고 3개 모두 일치)
가장 선호하는 계열: 인문계열
선호 직무 유형: 글로벌형 / 직업 가치: 경제적 풍족, 안정성, 사회적 인정</t>
        </is>
      </c>
      <c r="E8" s="5" t="inlineStr">
        <is>
          <t>희망 전공과 추천 전공 3개가 완전히 일치 — 자기 이해도가 높음.
원만성·글로벌형 → 국제회의전문가·정치외교학과로 이어지는 흐름이 자연스러움.</t>
        </is>
      </c>
      <c r="F8" s="5" t="inlineStr">
        <is>
          <t>불일치 이유 칸은 일치하므로 비워 둔 것으로 보임</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공정무역전문가(개발도상국 생산자 제품의 교역 지원 / 수리·논리력, 책임감, 사회문제 관심 / 국제학부·국제통상학과), 국제회의전문가(국제회의 기획·유치·준비·진행 총괄 / 대인관계능력, 리더십, 돌발 상황 대처 / 경영학과·관광경영학과), 국제무역사무원(무역 계약·결제 등 무역 사무 전반 / 수리·논리력, 수출입 서류 정리 / 경영·경제·무역·국제통상·유통학과), 일반공무원(국가·공공기관 행정업무 / 대인관계능력, 계획성, 꼼꼼함, 봉사정신 / 경영·사회복지·법·행정·회계·경제학과)
토너먼트: 1라운드에 4개 직업만 적고 이후 칸(선택·포기 이유, 최고 관심 직업)은 비어 있음
선호 직무유형·가치관 확인: 미기재</t>
        </is>
      </c>
      <c r="E9" s="5" t="inlineStr">
        <is>
          <t>직업 정보 표는 충실하지만 최고 관심 직업을 결정하는 단계가 비어 있음(6차시·최종 활동지에는 '국제회의전문가'를 최고 관심 직업으로 적음).
1학기 최종에서 선택한 '일반공무원(행정)'이 이미 이 목록에 들어 있었음.</t>
        </is>
      </c>
      <c r="F9" s="5" t="inlineStr">
        <is>
          <t>토너먼트·선택/포기 이유·관련 정도 분석 미기재
미래 명함 페이지(뒷면)는 연필 낙서만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국제회의전문가
AI 대체 가능: 실시간 다국어 통번역 및 회의록·자막 작성, 참가자 등록·결제 및 현장 안내, 초기 리서치 및 제안서 초안 작성 / 협업: 데이터 기반 초개인화 마케팅·매칭, 스마트 예산 관리·리스크 예측, 하이브리드·가상행사 테크 운영 / 대체 불가: 진정성 있는 '휴먼 네트워킹'과 감성 소통, 철학이 담긴 독창적인 콘셉트 기획, 현장 돌발 상황에 대한 유연한 위기관리
체크: 'AI가 예상보다 더 많이 대체할 수 있었다'
놀란 점: '국제회의전문가의 메인 업무인 것들을 AI가 대체한다는 점이 너무 놀랐다…'
키울 역량: 소통·협업 능력(사람 사이의 긴밀한 소통망을 잇고 국제회의를 성공으로 이끔), 창의적 사고(뻔한 AI 데이터 말고 창의적인 아이디어), AI 리터러시(실무에서 AI를 잘 활용)
모둠(간호사·국제회의전문가·의사·패션크리에이터·전문의사) 결론: 'AI가 절대 못 하는 건 소통과 공감이다 — 사람 사이의 교류에서 유연한 대처'</t>
        </is>
      </c>
      <c r="E10" s="5" t="inlineStr">
        <is>
          <t>AI 분석이 매우 구체적이고 전문 용어까지 활용함. 핵심 업무가 AI로 대체된다는 점에 크게 놀람 — 이후 진로를 바꾼 계기 중 하나일 가능성(상담 시 확인).</t>
        </is>
      </c>
      <c r="F10" s="5" t="inlineStr">
        <is>
          <t>지금 시작할 준비 1가지, 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정치외교학과 / 관심 대학: 미기재
학과 개요: 예리한 분석력, 정확한 판단력, 냉철한 비판력을 기르고 현실 정치에 대한 실용적 지식을 함양해 정치 영역에서 일할 전문가를 양성
적성 연결: '친구들과 놀 때 문제 해결 방법을…'(문장 미완성)
고교 관련 과목: 세계사, 현대사회와 윤리 / 대학 주요 교과목: 미기재
자격증: 사회조사분석사, 정책분석평가사 / 진출 분야: 행정안전부, 외교부, 청와대, 국회, 행정직 공무원
전망·지금 노력할 것: 미기재</t>
        </is>
      </c>
      <c r="E11" s="5" t="inlineStr">
        <is>
          <t>5·6차시 국제회의전문가와는 다른 정치외교학과를 탐색함. 진출 분야에 '행정직 공무원'을 적어 1학기 최종의 행정학과 선택과 연결됨.</t>
        </is>
      </c>
      <c r="F11" s="5" t="inlineStr">
        <is>
          <t>관심 대학, 대학 주요 교과목, 전망, 노력할 것 미기재</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모집인원을 고쳐 적고(470→4 등), 교과·종합 전형 방법 위치를 화살표로 바로잡음 — 교과: 학생부교과 70%·서류 30% / 종합: 1단계 서류 100%, 2단계 면접 40%·1단계 성적 60%, 교과·종합·정시 최저 X, 논술 논술 70%·교과 20%·출결 10%·최저 O, 정시 수능 80%·학생부 평가 20%
반영 교과·과목 수·방법: 미기재
전형별 준비도 별점: 미기재 / 도전 전형·선택 이유: 미기재</t>
        </is>
      </c>
      <c r="E12" s="5" t="inlineStr">
        <is>
          <t>모집요강 표는 스스로 수정하며 정확히 채웠으나 본인 경쟁력 점검(step1·2)은 비어 있음.</t>
        </is>
      </c>
      <c r="F12" s="5" t="inlineStr">
        <is>
          <t>반영 교과,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국제회의전문가 → '완전히 바뀜' / 희망 학과 무역·경제~상경계열 → '부분 수정' / 목표 대학 경희 → 변경(표시만 있음)
바뀐 이유: '희망 학과는 나와 적성이 잘 맞지 않았기 때문이고, 대학은 성적이 좋지 않아서'
최종 진로 목표: 사회계열 / 행정 관련 공무원 or 회사원 / 행정학과 / 가천대
과목 설계: 국어 매체 의사소통(3학년) / 영어 세계 문화와 영어 / 사회 법과 사회, 정치, 윤리와 사상, 현대사회와 윤리, 동아시아 역사 기행, 도시의 미래 탐구, 세계사, 역사로 탐구하는 현대 세계, 국제 관계의 이해, 세계시민과 지리, 여행지리, 사회와 문화, 사회문제 탐구 등 / 기타 일본어·일본어 회화(2학년·진로)
수시 관심: 학생부 교과, 학생부 종합 / 정시: 미체크
2학기 집중 과제: 내신 계획을 열심히 세우고 지키는 것(수행평가?) / 2학기 다짐: '열심히 살자'</t>
        </is>
      </c>
      <c r="E13" s="5" t="inlineStr">
        <is>
          <t>1학기 동안 국제회의전문가 → 정치외교학과 → 행정학과·공무원으로 진로가 크게 이동함. 이유로 '적성이 맞지 않음'과 '성적이 좋지 않아서'를 직접 밝힘 — 성적에 대한 부담이 목표 조정에 영향을 준 것으로 보여 상담 시 참고.
2-2 소감에서도 '결과를 보니 내신을 많이 보는 것 같다', '더 열심히 살아야겠다'고 적어 내신에 대한 관심·부담이 이어짐.
사회 과목은 매우 많이 골랐지만 수학·과학 과목 선택은 비어 있음.</t>
        </is>
      </c>
      <c r="F13" s="5" t="inlineStr">
        <is>
          <t>수학·과학 과목 설계, 정시 관심 전형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소비자학 전공
학업역량 B&gt;C&gt;A — 이유: B가 C·A의 평균과 비교했을 때 좀 더 고르게 성취한 것 같아서
진로역량 C&gt;B&gt;A — 이유: C가 계속 연관된 내용으로 활동이 이어지는 것이 보여서
공동체역량 B&gt;C&gt;A — 이유 미기재
예상 C-B-A → 결과 미기재
느낀 점: '더 열심히 살아야겠다…'
배운 점: 생각보다 연계성이 잘 보이고, 결과를 보니 내신을 많이 보는 것 같다</t>
        </is>
      </c>
      <c r="E14" s="5" t="inlineStr">
        <is>
          <t>진로역량을 '활동 간 연계성'으로 판단하는 등 평가 관점이 적절함.</t>
        </is>
      </c>
      <c r="F14" s="5" t="inlineStr">
        <is>
          <t>공동체역량 이유, 결과 확인 미기재</t>
        </is>
      </c>
    </row>
    <row r="15" ht="152"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
선택 이유: 평소 행정 관련에 관심이 많아 직접 조사해보고 발표하기 위해
관심 분야: 행정, 사회, 일어일문
그렇게 생각한 이유: '하고 싶은 일이 따로 있어서, 그 일을 하기에 무리가 없는 직업이 무엇일까 고민하다가 안정적인 행정직을 고민하게 됨'
잠정 탐구 주제·주제 선택 이유: 미기재
8차시 계획·다짐·자가점검: 미기재</t>
        </is>
      </c>
      <c r="E15" s="5" t="inlineStr">
        <is>
          <t>'하고 싶은 일이 따로 있다'고 적고 행정직을 '안정적인 직업'으로 고려함 — 실제로 하고 싶은 일이 무엇인지 상담 시 물어볼 만함.
1학기 최종(국제회의전문가 → 무역·경제·상경계열)에서 행정 쪽으로 관심이 이동함.</t>
        </is>
      </c>
      <c r="F15" s="5" t="inlineStr">
        <is>
          <t>잠정 주제, 주제 선택 이유, 계획표, 다짐 미기재</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
핵심 탐구 질문: 지역 마스코트 사례 및 활용 효과와 장기적 운영 방안 탐구
하위 질문 ①: 어떤 지역 마스코트가 있고 어떻게 활용되고 있을까?
하위 질문 ②: 왜 지역 마스코트를 사용하게 되었으며 어떤 효과가 있을까?(장단점)
하위 질문 ③: 장기적으로 운영하기 위해선 어떤 방안이 필요할까?
활용할 자료원: 각 지역의 공식 홈페이지, 관련 기사·논문</t>
        </is>
      </c>
      <c r="E16" s="5" t="inlineStr">
        <is>
          <t>행정 관심을 '지역 마스코트(지자체 홍보 행정)'라는 구체적 소재로 연결함. 질문 구조(사례 → 효과 → 운영 방안)가 논리적임.
하위 질문 ① 옆에 '어떤 부서?'라는 메모가 있음 — 담당 행정 부서까지 조사하도록 보완 안내된 것으로 보임.</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4개 수집
① 용인시·대전광역시·진주시·서울특별시 홈페이지: 각 지역 마스코트의 이미지와 설정.
② YTN 「'조이용, 이젠 시청에서 만나요'… 용인시 캐릭터 굿즈 인기」: 캐릭터를 활용한 이모티콘 제작·홍보관·굿즈 매장, 매장을 위탁 운영해 수익으로 지원 사업을 함(일부 판독 추정).
③ 「[용인정보] …용인시 미디어 담당관 SNS 홍보단」: 지역 마스코트 관리·홍보는 미디어 담당관이 주관하며, 미디어 담당관은 전반적인 미디어 홍보와 시청 소식지 등을 맡는다.
④ 「다시 돌아온 도시의 스타들, 지역 캐릭터 화려한 복귀」: 고양시는 고양고양이를 활용해 지역 이미지를 부드럽게 완화.
나의 생각/메모: 미기재</t>
        </is>
      </c>
      <c r="E17" s="5" t="inlineStr">
        <is>
          <t>P-2 하위 질문 ①(사례·활용), ②(효과), '어떤 부서?' 메모(담당 부서)에 각각 답이 되는 자료를 찾음(③은 마스코트 관리 담당이 미디어 담당관임을 확인). 하위 질문 ③(장기 운영 방안)에 해당하는 자료는 아직 없음.</t>
        </is>
      </c>
      <c r="F17" s="5" t="inlineStr">
        <is>
          <t>자료 ⑤, 나의 생각/메모 미기재
일부 문장 판독 추정</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10805 김민지)</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1학기 스캔본(16쪽)에는 1-2 활동지가 포함되어 있지 않음. 2학기 진로 프로젝트(개별 프로젝트) P-1(1차시 트랙 선택·계획서)·P-2(2차시 트랙별 활동지) 학급 스캔본을 추가 반영함. 단, P-2 스캔본에는 이 학생의 활동지가 없음. P-3(3차시: 주제탐구 자료 수집 / 진로독서 독서 전 활동 / 습관형성 1주차 기록표) 학급 스캔본을 추가 반영함. 단, P-3 스캔본에는 이 학생의 활동지가 없음(결석·미제출 확인 필요, P-2도 없음).</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자기소개 진진가: '내 생일은 7월이다 / 원래 1지망이 ○○고였다 / 고양이를 키운다', '나는 아직 진로를 정하지 못했다 / 내가 좋아하는 캐릭터는 짱구이다 / 여름을 좋아한다'
질문지: 자신 있게 말할 수 있다·노력하고 있다·가족과 이야기·필요한 공부를 안다 → 모두 '그렇지 않다', 상담 경험 → '보통'
상담 상대: 부모나 친척 / 진로 결정 시 중요: 나의 소질과 적성 / 정보 탐색: 인터넷
노력: 흥미와 적성을 찾기 위한 비교·활동 참여 / 어려운 점: 나의 특성을 몰라서
진로수업에 바라는 것: '직업체험…?'
약속: ★완벽 — '준비를 안 하면 시작도 못 하고, 시작은 한다고 해도 엉망진창이기 때문이다'
깨달은 점: 입학해서 아직 학교를 잘 몰랐는데 OT를 하면서 학교 곳곳의 장소를 알게 되어 기뻤다 / 다섯 글자: '매우 설렌다'</t>
        </is>
      </c>
      <c r="E5" s="5" t="inlineStr">
        <is>
          <t>진진가에 '나는 아직 진로를 정하지 못했다'를 적었고 진로 자신감 문항이 대부분 '그렇지 않다'임 — 진로 미결정 상태에서 출발.</t>
        </is>
      </c>
      <c r="F5" s="5" t="inlineStr">
        <is>
          <t>-</t>
        </is>
      </c>
    </row>
    <row r="6" ht="60"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이번 스캔본(16쪽)에 1-2 활동지가 포함되어 있지 않음</t>
        </is>
      </c>
      <c r="E6" s="5" t="inlineStr">
        <is>
          <t>미제출 또는 스캔 누락 여부 확인 필요.</t>
        </is>
      </c>
      <c r="F6" s="5" t="inlineStr">
        <is>
          <t>활동지 없음(원본 확인 필요)</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계산식 기재)
100점 동점자 50명 → 전원 2등급 / 대학이 깊게 보는 항목 → 과목별 세부능력 및 특기사항(세특) / 세특 확인 → 2학년 진급 후 가능
1등급 28명에 대한 느낀 점: '열심히 공부해야겠다!'
목표 점수: 국어 65, 수학 50, 영어 50, 한국사 60, 통합사회 60, 통합과학 45
시험 계획: 6과목 모두 날짜별로 범위를 적음(국어 작품 읽기, 수학 다항식~이차방정식과 이차함수, 영어 3월 모의고사·Lesson 2, 한국사 교과서 8-45p·개념완성, 통합사회 교과서 10-39p·106-133p, 통합과학 1~3단원). 시험 끝 칸에 '야르~'</t>
        </is>
      </c>
      <c r="E7" s="5" t="inlineStr">
        <is>
          <t>계산 전부 정답. 목표 점수를 현실적으로(45~65점) 잡았고, 과목별로 교과서 쪽수까지 적어 계획이 구체적임.</t>
        </is>
      </c>
      <c r="F7" s="5" t="inlineStr">
        <is>
          <t>-</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①예술적 감수성(레오나르도 다빈치 / 공공디자이너·사진작가·건축가·작곡가) ②감사(소크라테스 / 영성지도자·시인 등) ③호기심(알베르트 아인슈타인 / 로봇공학자·과학자·기자·여론조사 전문가 등)
핵심 강점: 감사 — 연관 단어: 공기, 부모님, 인생, 기부, 돈, 사랑 등(일부 판독 어려움) / 강화 방안: '고마움을 항상 느끼기!'
MIT 희망 전공: 식품·조리, 미술·디자인, 화공·재료 / 추천 전공: 식품·조리(한식·양식·일식조리사, 제과제빵원), 주거(인테리어)·의류(실내장식 디자이너), 미술·디자인(제품디자이너·화가·웹디자이너)
가장 선호하는 계열: 예체능계열
불일치 이유: '아마 내가 머릿속에서는 이게 좋다라고는 했지만 손은 약간 다르게 표시했을 것이다', '사실 다 비슷하다(식품 빼고)'
선호 직무 유형: 예술가형 / 직업 가치: 안정성, 경제적 풍족, 사회적 인정</t>
        </is>
      </c>
      <c r="E8" s="5" t="inlineStr">
        <is>
          <t>희망·추천 전공 1순위(식품·조리)가 일치하고, 예술적 감수성·예술가형이 이후 조리사·디자이너 관심으로 이어짐. 불일치 이유를 솔직하게 적음.</t>
        </is>
      </c>
      <c r="F8" s="5" t="inlineStr">
        <is>
          <t>핵심 강점 연관 단어 일부 판독 어려움</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제과제빵원(밀가루·설탕 등으로 베이커리 제품 반죽·발효·굽기 / 정확한 계량을 위한 꼼꼼함, 상품 감각, 장시간 작업 체력 / 제과제빵과·호텔제과제빵과), 실내장식디자이너(고객 상담, 공간 기획·도면 설계, 마감재·가구 선정, 시공 감리, 스타일링 / 심미적 감각·공간지각력·캐드·3D 활용·소통능력 / 실내디자인·실내건축·건축·주거환경학과), 화가(작품 구상·재료 선택·채색, 전시 기획·작품 판매, SNS 소통 / 예술적 감각·창의적 상상력 / 미술·서양화·동양화·회화과), 일식조리사(식재료 검수·손질·조리, 도구·위생 관리 / 섬세한 칼 기술·불 조절·신선도 유지 / 호텔외식조리과·조리과학과·일식조리전공)
토너먼트: 결승 실내장식디자이너 vs 일식조리사 → 최종 '일식조리사'
선택 이유: '전문기술을 습득해서 고급 요리사로 승급하고 싶어서', '일식 조리를 배워서 나중에 내 가게를 만들고 싶은 것' / 실내장식디자이너 포기 이유: 고객과 소통이 원활하지 않을 것 같아서(일부 판독 어려움)
제과제빵원 탈락 이유: 비용이 안 맞아 중간에 그만둘 것 같아서(일부 판독 어려움)
AI 관련 정도: 미기재</t>
        </is>
      </c>
      <c r="E9" s="5" t="inlineStr">
        <is>
          <t>'내 가게를 만들고 싶다'는 구체적인 꿈이 드러남. 4차시 식품·조리 결과와 연결된 선택.</t>
        </is>
      </c>
      <c r="F9" s="5" t="inlineStr">
        <is>
          <t>AI 관련 정도 분석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일식조리사
AI 대체 가능: 반복적이고 단순한 작업, 주방 자동화 및 조리 보조, 재고관리 및 주문 예측 / 협업: 레시피 개발 및 맛 조합 연구, 고객 맞춤형 메뉴 추천, 주방 운영 효율 향상 지원 / 대체 불가: 창의성과 감성의 표현, 즉각적인 문제 해결과 직관, 문화와 전통의 계승
체크: '내 생각이 AI 답과 거의 같았다'
새로 알게 된 점: '아무리 AI가 인간을 뛰어넘을 순 없다. 애초에 AI한테 정보를 넣어주는 게 인간이기 때문이다'
키울 역량: 소통·협업(고객과 소통해야 음식을 만듦), 창의적 사고(음식을 새로 만들 때 필요), 문제 해결력(만들 때 실수하면 해결하는 법)
미래 명함: 직업명 '일식조리사'만 기재
모둠(일식조리사·유치원교사·초등교사·애견미용사) 결론: 'AI가 절대 못 하는 건 정서적 공감과 유연한 소통능력이다'</t>
        </is>
      </c>
      <c r="E10" s="5" t="inlineStr">
        <is>
          <t>역량 선택 이유를 조리 현장과 연결해 적음.</t>
        </is>
      </c>
      <c r="F10" s="5" t="inlineStr">
        <is>
          <t>지금 시작할 준비 1가지, 명함 슬로건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외식조리학과 / 관심 대학: 우송대학교
학과 개요: 음식 조리와 외식산업에 관한 전문지식을 배우고 실무 능력을 키우는 학과
적성 연결: 음식을 만들 때 재미를 느낌 → 음식을 잘 만들 수 있다
고교 관련 과목: 화학, 생명(과학)
대학 주요 교과목 칸: 생명공학과, 화학공학과, 문화콘텐츠(학과명을 적음)
자격증: 조리기능사 / 진출 분야: 레스토랑 / 전망: 70~85%
지금 노력할 것: '화학이나 생명과학을 공부 열심히 하기'</t>
        </is>
      </c>
      <c r="E11" s="5" t="inlineStr">
        <is>
          <t>5·6차시 일식조리사와 일관된 학과 선택. '대학 주요 교과목' 칸에 학과명을 적어 조사 보완이 필요함.</t>
        </is>
      </c>
      <c r="F11" s="5" t="inlineStr">
        <is>
          <t>대학 주요 교과목 칸 작성 방식 확인 필요</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4·9·5·9로 수정 / 교과 학생부교과 70%+서류종합 30% / 종합 1단계 서류종합 100%, 2단계 면접 40%+1단계 성적 60% / 논술 논술 70%+교과 20%+출결 10% / 정시 수능 80%+학생부평가 20% / 최저: 교과 X, 종합 X, 논술 O, 정시 X
반영 교과: 학생부교과 국·수·영·사·과 중, 논술 국·영·수·사·과 / 반영 과목 수: 공통과목 등 제외 관련 메모(판독 어려움)
전형별 준비도 별점: 미기재 / 도전 전형·선택 이유: 미기재</t>
        </is>
      </c>
      <c r="E12" s="5" t="inlineStr">
        <is>
          <t>모집요강 표와 반영 교과까지 정확히 채웠으나 본인 준비도 점검·도전 전형은 비어 있음.</t>
        </is>
      </c>
      <c r="F12" s="5" t="inlineStr">
        <is>
          <t>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일식조리사 → '그대로 유지' / 희망 학과 외식조리학과 → '그대로 유지' / 목표 대학·계열 '…?'
유지 이유: '아직 정해진 게 없기 때문(진로를 정하지 않아서)'
최종 진로 목표(계열·직업·학과·대학): 모두 X 표시
과목 선택 설계, 대입 전형, 2학기 집중 과제, 2학기 다짐: 전부 미기재</t>
        </is>
      </c>
      <c r="E13" s="5" t="inlineStr">
        <is>
          <t>1-5~1-7에서는 일식조리사·외식조리학과로 일관되게 탐색했지만, 최종 활동지에서는 '아직 진로를 정하지 않았다'며 최종 목표를 모두 X로 비움 — 1-1의 '나는 아직 진로를 정하지 못했다'와 이어져, 진로 결정에 대한 확신이 부족한 상태로 보임. 과목 선택 전 개별 상담 권장.
2-2 소감에서는 '나도 여기 나오는 예시가 되고 싶다'고 적어 동기는 있음.</t>
        </is>
      </c>
      <c r="F13" s="5" t="inlineStr">
        <is>
          <t>최종 목표, 과목 설계, 대입 전형, 다짐 전체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공과대학 조선해양공학과
학업역량 B&gt;A&gt;C — 이유: 성취도를 알파벳으로 보면 B가 가장 좋아 보이고, 숫자 등급은 한 번에 보이지만 A·B는 절대평가라서(일부 판독 어려움)
진로역량 — 순위·이유 미기재
공동체역량 C&gt;A&gt;B — 이유: 생기부에서 친구들과 잘 어울리는지, 도움을 얼마나 주는지가 많이 나온 순으로
예상 B-C-A → 결과 B, A·C(공동)
느낀 점: 사람마다 기준과 생각이 다 다르고 완벽히 같은 생각은 없다
배운 점: 앞으로 공부를 열심히 해서 나도 여기 나오는 예시가 되고 싶다</t>
        </is>
      </c>
      <c r="E14" s="5" t="inlineStr">
        <is>
          <t>합격생 사례처럼 되고 싶다는 동기 부여가 드러남.</t>
        </is>
      </c>
      <c r="F14" s="5" t="inlineStr">
        <is>
          <t>진로역량 순위·이유 미기재
학업역량 이유 일부 판독 어려움</t>
        </is>
      </c>
    </row>
    <row r="15" ht="20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습관형성(A칸 '관심사 탐구형'에 체크하고 관심 분야를 적었다 지운 흔적 있음)
선택 이유: 오랫동안 취미로 태권도 등 운동을 꾸준히 해왔는데 요즘 운동을 안 해서 운동 습관(줄넘기, 운동 루틴 짜기 등)이 많이 망가짐 — 개선이 필요함
닮고 싶은 사람과 습관: 우리 엄마(존경) — 아무리 힘들어도 묵묵히 참고 해내며 무엇이든 열심히 하는 습관
습관이 진로에 중요한 이유: 생기부에 좋은 습관이 있다고 적히면 나중에 미래에 도움이 된다고 생각함
개선하고 싶은 현재 습관: '불만이 있어도 안 하지 않고, 일단 닥치고 하는 것'(일부 판독 어려움)
8차시 계획: 미기재
다짐: '나에게 포기란 없다'</t>
        </is>
      </c>
      <c r="E15" s="5" t="inlineStr">
        <is>
          <t>엄마를 존경한다며 '묵묵히 참고 해내는' 태도를 닮고 싶다고 적음 — 긍정적인 롤모델.
1학기 최종에서 '아직 진로를 정하지 않았다'고 한 것과 이어져, 진로 탐색보다 생활 습관(운동) 회복에 먼저 초점을 둔 선택으로 보임.</t>
        </is>
      </c>
      <c r="F15" s="5" t="inlineStr">
        <is>
          <t>개선하고 싶은 습관 문장 일부 판독 어려움
8차시 계획표 미기재</t>
        </is>
      </c>
    </row>
    <row r="16" ht="120" customHeight="1">
      <c r="A16" s="4" t="inlineStr">
        <is>
          <t>P-2</t>
        </is>
      </c>
      <c r="B16" s="5" t="inlineStr">
        <is>
          <t>진로 프로젝트 2차시(트랙별 활동지)</t>
        </is>
      </c>
      <c r="C16" s="5" t="inlineStr">
        <is>
          <t>주제탐구: 탐구계획서 / 진로독서: 도서 선정 / 습관형성: 나를 돌아보고 목표 세우기</t>
        </is>
      </c>
      <c r="D16" s="5" t="inlineStr">
        <is>
          <t>이번 P-2 스캔본(25쪽)에 이 학생의 활동지가 없음</t>
        </is>
      </c>
      <c r="E16" s="5" t="inlineStr">
        <is>
          <t>결석 또는 미제출 여부 확인 필요(습관형성 트랙이므로 '나를 돌아보고 목표 세우기' 활동지).</t>
        </is>
      </c>
      <c r="F16" s="5" t="inlineStr">
        <is>
          <t>P-2 활동지 없음</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10806 김세희)</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 선생님께: '장래희망이 없을 때는 어떻게 찾아야 할까요?'
자기소개 진진가: '나의 꿈은 선생님이었다 / 나는 동생이 2명이다 / 나의 MBTI는 INFJ이다', '나는 수학을 좋아한다 / 나는 노란색을 좋아한다 / 나는 강아지를 키운다'
질문지: 자신 있게 말할 수 있다·필요한 공부를 안다·상담 경험 → '그렇지 않다', 노력하고 있다 → '보통', 가족과 이야기 → '그렇다'
상담 상대: 선배나 친구 / 진로 결정 시 중요: 나의 소질과 적성 / 정보 탐색: 인터넷
노력: 틈틈이 정보 수집 / 어려운 점: 나의 특성을 몰라서
약속: ★존중 — '서로의 꿈이 다르고 누구는 꿈이 있고 누구는 꿈이 없을 수도 있기 때문에 서로를 존중해 주는 마음이 제일 중요하다고 생각한다'
깨달은 점: '나의 꿈을 찾을 수 있는 방법은 여러 가지가 있다는 것을 알게 되었다' / 다섯 글자: '열심히 하자'</t>
        </is>
      </c>
      <c r="E5" s="5" t="inlineStr">
        <is>
          <t>첫 질문이 '장래희망이 없을 때는 어떻게 찾아야 하나요?'였고 진로 자신감도 낮은 편이었으나, 이후 교육계열·초등교사로 진로를 찾아가는 흐름이 뚜렷함.</t>
        </is>
      </c>
      <c r="F5" s="5" t="inlineStr">
        <is>
          <t>진로수업에 바라는 것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정확히 작성: 정시=수능, 학생부교과/학생부종합, 수능 최저학력, 5등급제·상위 10%, 수행+지필, 수행평가, 192학점, 진로, 1학년 여름방학, 과정, 세부능력 및 특기사항, 수업에 적극적으로 참여, 자율·동아리·행동특성 및 종합의견, 공통·통합사회/통합과학, 내신, 역전, 주도성
활동 후 다짐: 미기재</t>
        </is>
      </c>
      <c r="E6" s="5" t="inlineStr">
        <is>
          <t>영상 핵심 내용을 빠짐없이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필산 흔적)
100점 동점자 50명 → 2등급 / 대학이 깊게 보는 항목 → 과목별 세부능력 및 특기사항 / 세특 확인 → 2학년 진급 후 가능
느낀 점 칸: '끝까지 화이팅! 다~잘될꺼야!' 메모
목표 점수: 국어 83, 수학 90, 영어 90, 한국사 82, 통합사회 83, 통합과학 79
시험 계획: 수학만 4/9~4/20 단원별로 작성(다항식 → 복소수와 이차방정식 → 이차방정식과 이차함수 → 단원 정리 → 안 되는 단원 공부 → 기출문제 풀기)</t>
        </is>
      </c>
      <c r="E7" s="5" t="inlineStr">
        <is>
          <t>계산 전부 정답. 수학 계획은 단계적이고 구체적(취약 단원 보완 → 기출)이나 다른 과목 계획은 비어 있음.</t>
        </is>
      </c>
      <c r="F7" s="5" t="inlineStr">
        <is>
          <t>수학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②이타심(이태석 / 간호사·상담사·특수학교 교사 등) ③끈기(세종대왕 / 반려동물 행동교정 전문가·운동선수·연주가·동물사육사)
핵심 강점: 끈기 — 연관 단어: 인내심, 세종대왕, 성실, 노력, 의지, 꾸준함, 근성, 성장 / 강화 방안: '공부할 때 하기 싫어도 1시간 이상 앉아 있기'
MIT 희망 전공: 초·중등 교육, 사회·심리, 유아·특수 교육 / 추천 전공: 유아·특수 교육, 복지·상담, 초·중등 교육
가장 선호하는 계열: 교육계열
불일치 이유: '1, 3순위가 서로 바뀌었다. 아직 내가 유아·특수 교육에 관심이 있는지, 초·중등 교육에 관심이 있는지 잘 모르겠어서 더 알아가 봐야겠다'
선호 직무 유형: 돌봄형 / 직업 가치: 안정성, 사회봉사, 경제적 풍족</t>
        </is>
      </c>
      <c r="E8" s="5" t="inlineStr">
        <is>
          <t>희망·추천 전공이 교육 분야로 거의 일치하고, 불일치 이유를 스스로 분석해 다음 탐색 과제로 연결함(5차시 유치원교사 vs 초등교사 비교로 이어짐).</t>
        </is>
      </c>
      <c r="F8" s="5" t="inlineStr">
        <is>
          <t>-</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유치원교사(만 5세부터 초등학교 입학 전 아동에게 알맞은 교육환경 제공, 신체·정서 발달 지도, 위생·안전 교육 / 유아의 발달과 감정을 이해하는 공감능력·의사소통·인내심·지도력 / 유아교육과·아동교육학과·아동복지학과), 간호사(의사를 도와 환자를 돌봄 / 관찰력·응급 상황 판단력 / 간호학과·응급구조학과·보건행정학과), 놀이치료사(놀이를 통해 아동의 감정·행동을 이해하고 정서·사회성 문제 치료 / 아동 심리 이해·공감·의사소통 / 아동학·심리학·유아교육학·특수교육학·상담심리학), 초등교사(초등학생에게 국어·수학·사회·과학 등 교과 지도, 생활 지도 / 책임감·리더십·인내심·수업 운영 능력 / 교육대학교, 초등교육과)
토너먼트: 결승 유치원교사 vs 초등교사 → 최종 '초등교사'
선택 이유: '아직은 아이를 돌보는 것보다 가르치는 게 더 재밌는 것 같다' / 유치원교사 포기 이유: '아이와의 소통보다는 가르치는 게 더 재밌어서'
AI 관련 정도: 미기재</t>
        </is>
      </c>
      <c r="E9" s="5" t="inlineStr">
        <is>
          <t>4차시에서 남긴 질문(유아교육 vs 초·중등교육)을 5차시 토너먼트로 직접 해결함 — 차시 간 연결이 매우 좋음.
직업 정보 표를 빽빽하고 성실하게 작성.</t>
        </is>
      </c>
      <c r="F9" s="5" t="inlineStr">
        <is>
          <t>AI 관련 정도 분석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초등교사
AI 대체 가능: 학습 자료 제작 및 채점, 학생 수준 분석, 행정 업무 정리 / 협업: 개별 맞춤 수업 설계, 수업 자료 활용, 학생 상담 보조 / 대체 불가: 학생들과의 정서적 교감, 인성 교육과 가치관 형성, 예상하지 못한 상황 대처
체크: 'AI가 못 하는 부분이 생각보다 많았다'
놀란 점: 'AI가 발달하면 뭐든지 다 할 줄 알았는데 생각보다 AI가 못 하는 일도 있고 나와 AI가 협업해야 하는 것도 있어 놀랐다'
키울 역량: 공감 능력(AI가 데이터로 읽지 못하는 학생의 감정을 파악하고 적절히 반응), 수업·콘텐츠 설계 능력(AI가 대신할 수 없는 프로젝트 수업을 기획·운영), 현장 경험·직관(현장 경험을 쌓아 아이들과 더 소통)
지금 시작할 준비: '공부하기, 친구가 모르는 것 알려주기!'
모둠(일식조리사·유치원교사·초등교사·애견미용사) 결론: 'AI가 절대 못 하는 건 정서 공감과 유연한 소통능력이다'</t>
        </is>
      </c>
      <c r="E10" s="5" t="inlineStr">
        <is>
          <t>역량별 이유가 교사 직무와 구체적으로 연결되고 '준비 1가지'까지 작성 — 완성도 높음.</t>
        </is>
      </c>
      <c r="F10" s="5" t="inlineStr">
        <is>
          <t>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초등교육과 / 관심 대학: 서울교대
학과 개요: 아동 중심의 교육을 실천하며 인성과 창의성, 따뜻한 교육 감성을 갖춘 교사로 성장하는 데 초점을 둔 공부를 함
적성 연결: 친구들이 모르는 문제를 알려주고, 고민이 있을 때 상담해 주는 걸 좋아하고 잘함 → 수업, 고민 있는 학생 상담
고교 관련 과목: 세계시민과 지리, 사회와 문화, 기술·가정, 체육 등 / 대학 주요 교과목: 아동 발달과 교육, 초등교육론, 아동문학
자격증: 초등학교 정교사 2급, 상담심리사, 놀이치료사, 동화구연지도사
진출 분야: 국·공·사립 초등학교 교사, 아동 발달 전문가, 교감·교장, 아동 방송 작가 및 연출가, 교육 공무원 / 전망: 취업률 70%
지금 노력할 것: '공부를 열심히 하기!'</t>
        </is>
      </c>
      <c r="E11" s="5" t="inlineStr">
        <is>
          <t>모든 칸을 채웠고 자신의 강점(친구 가르치기·상담)을 학과와 자연스럽게 연결함.</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70%+교과 관련 영역 서류종합평가 30%, 최저 미적용 / 종합 1단계 서류종합평가 100%, 2단계 면접 40%+1단계 성적 60%, 최저 미적용 / 논술 학생부 30%(교과 20%·출결 10%)+논술 70%(350점), 최저 적용 / 정시 수능 80%+학생부평가 20%, 최저 미적용
반영 교과: 교과·논술 모두 국어·수학·과학·사회·영어 중 / 반영 과목 수: 공통과목을 제외한 성취도(5단계)
전형별 준비도 별점: 미기재 / 도전 전형·선택 이유: 미기재</t>
        </is>
      </c>
      <c r="E12" s="5" t="inlineStr">
        <is>
          <t>모집요강 표와 반영 교과까지 정확하고 꼼꼼하게 작성. 본인 준비도 점검·도전 전형은 비어 있음.</t>
        </is>
      </c>
      <c r="F12" s="5" t="inlineStr">
        <is>
          <t>반영 방법,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초등교사 / 희망 학과 초등교육과 / 목표 계열 교육계열 → 모두 '그대로 유지'
유지 이유: 미기재
최종 진로 목표: 교육계열 / 초등교사 / 초등교육과 / 교대
과목 설계: 국어·수학·영어 칸은 X 표시 / 사회: 세계시민과 지리(2학년/일반), 윤리와 사상(2학년/진로), 현대사회와 윤리(일반) / 과학: 화학(2학년/일반), 화학 반응의 세계(2학년/진로), 생명과학(2학년/일반), 세포와 물질대사(2학년/진로) / 기타: 중국어(2학년/일반), 중국어 회화
수시 관심: 학생부종합 / 정시 관심: 수능 / 2학기 집중 과제: 내신 관리(내신 공부)
2학기 다짐: '내신을 더 하자!'</t>
        </is>
      </c>
      <c r="E13" s="5" t="inlineStr">
        <is>
          <t>4→5→7→최종까지 교육계열·초등교사·초등교육과로 진로가 가장 일관된 학생 중 하나(1-1 진진가의 '나의 꿈은 선생님이었다'와도 연결).
과목 설계에서 국·수·영을 X로 비워 둠 — 초등교사는 전 교과를 지도하므로 교대 권장 과목 안내가 필요함. 과학(화학·생명) 선택 비중이 높은 점도 확인 권장.
2-2에서도 '꿈에 맞춘 일관된 생기부'의 중요성을 스스로 도출함.</t>
        </is>
      </c>
      <c r="F13" s="5" t="inlineStr">
        <is>
          <t>유지 이유, 국·수·영 과목 설계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컴퓨터공학부
학업역량 C&gt;B&gt;A — 이유: C는 모든 교과가 1등급이고, B는 A보다 성적이 좋음(수정 흔적 많음)
진로역량 A&gt;C&gt;B — 이유: B의 탐구활동은 여러 과목이 섞여 컴퓨터와 거리가 있고, A·C는 공학·이과 계열 학습활동에 가까움
공동체역량 B&gt;C&gt;A — 이유: B는 부회장으로서 모범적인 생활을 함
예상 미기재 → 결과 C-A-B
느낀 점: 사람마다 보는 관점이 다르다
배운 점: A는 성적이 가장 낮았지만 꿈이 명확하고 그에 맞게 생기부를 잘 채워서 합격할 수 있었던 것 같다. 나도 성적을 올려야 하지만 생기부를 하나의 꿈으로 밀고 가는 게 좋을 것 같다</t>
        </is>
      </c>
      <c r="E14" s="5" t="inlineStr">
        <is>
          <t>'성적이 낮아도 꿈에 맞춘 일관된 생기부가 중요하다'는 활동 핵심을 스스로 도출함 — 완성도 높음.</t>
        </is>
      </c>
      <c r="F14" s="5" t="inlineStr">
        <is>
          <t>조별 예상 결과 미기재</t>
        </is>
      </c>
    </row>
    <row r="15" ht="13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주제탐구(진로 연계형)
선택 이유: 미기재
관심 분야: 초등교육과, 사회교육과, 심리학과
그렇게 생각한 이유: 동생·사촌동생을 돌보고 공부도 도와주면서 선생님이라는 직업에 관심이 생겼고, 관련 정보를 많이 찾아봄
잠정 탐구 주제: 'AI 시대에 초등교사의 역할은 어떻게 변화해야 할까?'
주제 선택 이유·8차시 계획·다짐·자가점검: 미기재</t>
        </is>
      </c>
      <c r="E15" s="5" t="inlineStr">
        <is>
          <t>1학기 최종(초등교사·초등교육과·교대)과 일관된 진로 연계형 주제를 설정함.</t>
        </is>
      </c>
      <c r="F15" s="5" t="inlineStr">
        <is>
          <t>트랙 선택 이유, 주제 선택 이유, 계획표, 다짐 미기재</t>
        </is>
      </c>
    </row>
    <row r="16" ht="152"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
핵심 탐구 질문: 놀이가 아이들의 정서 발달에 어떤 영향을 줄까?
하위 질문 ①: 아이들의 놀이 활동에는 어떤 것이 있을까?(여러 번 고쳐 씀)
하위 질문 ②: 놀이를 통해 아이들은 자신의 감정을 어떻게 표현하고 조절할까?
하위 질문 ③: 친구들과 함께하는 놀이가 아이들의 공감 능력과 또래관계에 어떤 영향을 줄까?
활용할 자료원: 미기재</t>
        </is>
      </c>
      <c r="E16" s="5" t="inlineStr">
        <is>
          <t>1차시 잠정 주제(AI 시대 초등교사의 역할)에서 '놀이와 아동 정서 발달'로 주제를 바꿈 — 초등교육·심리 관심은 그대로 이어짐.
질문 구성은 좋으나 자료원이 비어 있어 3차시 자료 수집 전에 보완 필요.</t>
        </is>
      </c>
      <c r="F16" s="5" t="inlineStr">
        <is>
          <t>활용할 자료원 미기재</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1개 수집
① 「놀이 활용 자기표현훈련 프로그램이 초등학생의 정서지능에 미치는 영향」(논문 제목으로 보임): 놀이를 활용한 자기표현훈련 프로그램이 초등학생의 정서지능을 향상시키는 데 도움이 되었고, 정서인식·정서표현에서 유의한 영향을 미치는 것으로 나타났다.
자료 ②~⑤, 나의 생각/메모: 미기재</t>
        </is>
      </c>
      <c r="E17" s="5" t="inlineStr">
        <is>
          <t>P-2에서 비어 있던 자료원을 논문 1편으로 채웠고 주제(놀이-정서 발달)와 직접 연결됨. 다만 1개뿐이며 저자·학술지 등 출처 정보가 없음 — 자료 추가 수집 필요.</t>
        </is>
      </c>
      <c r="F17" s="5" t="inlineStr">
        <is>
          <t>자료 ②~⑤, 메모 미기재
논문 저자·학술지 미기재</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10807 김연아)</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P-2 스캔본에 함께 들어 있던 1차시 활동지 보완본(다시 작성한 앞장)은 P-1 행에 합쳐 정리함. P-3(3차시: 주제탐구 자료 수집 / 진로독서 독서 전 활동 / 습관형성 1주차 기록표) 학급 스캔본을 추가 반영함. P-3 스캔본에 함께 들어 있던 2차시(P-2) 활동지 보완본(다시 작성한 앞장)은 P-2 행에 합쳐 정리함.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'나의 꿈은 자원봉사자이다 / 나는 꿈이 없다 / 나는 INTP이다', '나는 잠이 좋다 / 나는 잠을 15시간 이상 잔 적이 있다 / 나는 선생님이 꿈이다'
질문지: 자신 있게 말할 수 있다 → '그렇지 않다', 노력하고 있다·가족과 이야기·필요한 공부를 안다 → '보통', 상담 경험 → '그렇다'
상담 상대: 부모나 친척 / 진로 결정 시 중요: 나의 소질과 적성 / 정보 탐색: 진로 상담
어려운 점: 나의 특성을 몰라서, 부모님과 의견이 달라서
약속: ★연결 — 인생에서 많지 않은 진로 수업을 시간만 보내는 게 아니라 미래와 연결하고 싶다는 취지(일부 판독 어려움)
깨달은 점: 미기재 / 다섯 글자: '열심히 살자'</t>
        </is>
      </c>
      <c r="E5" s="5" t="inlineStr">
        <is>
          <t>진로 결정의 어려움으로 '부모님과 의견이 달라서'를 체크함 — 5차시 치위생사 관련 응답과 연결됨(상담 시 참고).</t>
        </is>
      </c>
      <c r="F5" s="5" t="inlineStr">
        <is>
          <t>퀴즈 정답, 노력 문항(체크 불분명), 깨달은 점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대부분 정확히 작성: 정시=수능, 학생부교과/학생부종합, 수능 최저학력, 5등급제·상위 10%, 수행+지필, 수행평가, 192학점, 진로, (1학년) 여름방학, 과정, 세부능력 및 특기사항, 수업에 적극적 참여, 자율·동아리·행동특성 및 종합의견, 공통·통합사회/통합과학, 내신+생기부, 주도성
오답: 성적 역전 빈칸을 '학종'으로 적음
활동 후 다짐: 미기재</t>
        </is>
      </c>
      <c r="E6" s="5" t="inlineStr">
        <is>
          <t>핵심 개념을 대부분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249등(모두 정확, 계산식 기재)
100점 동점자 50명 → 2등급 / 대학이 깊게 보는 항목 → 과목별 세부능력 및 특기사항 / 세특 확인 → 2학년 진급 후 가능
1등급 28명에 대한 느낀 점: 미기재
목표 점수: 6과목 모두 70점
시험 계획: 국어만 4/9~4/20 작품별로 작성(작품별 요약 정리, 개념 정리, '4개 작품 총정리', '5개 작품 총정리', 복습). 표 모서리에 '잘해왔고 잘하고 있고 잘해낼거야' 메모</t>
        </is>
      </c>
      <c r="E7" s="5" t="inlineStr">
        <is>
          <t>계산 정답. 국어 계획은 작품 단위로 체계적이나 다른 과목 계획은 비어 있음.
스스로를 격려하는 메모를 남김.</t>
        </is>
      </c>
      <c r="F7" s="5" t="inlineStr">
        <is>
          <t>느낀 점, 국어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①원만성(넬슨 만델라 / 국제 통상 전문가·외교관·인사 전문가) ②신중성(제갈공명 / 스마트 재난관리 전문가·리스크 관리자·산업안전 및 위험 관리원) ③개방성(파블로 피카소 / 글로벌 홍보 전문가·다문화 언어지도사·융합형 디자이너)
핵심 강점: 신중성 — 연관 단어: 선택, 돌다리, 간호사, 대비, 의사결정, 약속, 중요, 후회 / 강화 방안: '깊이 있는 생각해 보기', '책을 많이 읽어서 지식을 갖자'
MIT 희망 전공: 간호·보건, 의료, 사회·심리 / 추천 전공: 간호·보건(간호사·보건교사), 약학(약사), 의료(의사)
가장 선호하는 계열 칸: '간호학과'로 기재
불일치 이유: 미기재
선호 직무 유형: 아이디어형 / 직업 가치: 안정성, 경제적 풍족, 사회봉사</t>
        </is>
      </c>
      <c r="E8" s="5" t="inlineStr">
        <is>
          <t>희망·추천 전공 1순위가 간호·보건으로 일치하고, 핵심 강점 연관어에도 '간호사'를 적어 이 시점부터 간호 진로가 분명함.
선호 계열 칸에 계열 대신 학과명을 적음.</t>
        </is>
      </c>
      <c r="F8" s="5" t="inlineStr">
        <is>
          <t>불일치 이유 미기재, 선호 계열 칸 작성 방식 확인 필요</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간호사(병원에서 의사를 도와 환자를 치료하고 돌봄 / 책임감·봉사정신·침착한 판단력·대인관계능력 / 간호학과·건강관리학과 등), 방사선사(의사를 보조해 방사선 장비로 진단·치료 / 자기성찰능력·수리·논리력 / 방사선과), 약사(국민 건강증진을 위한 약 전문가로 조제·투약 등 / 수학·논리력, 화학·생명과학 흥미, 경영관리능력 / 약학부·제약공학과), 치위생사(치과의사를 도와 진료 보조·예방 처치·구강 교육 / 언어전달능력·순발력 / 치위생과·치기공과)
토너먼트: 결승 간호사 vs 치위생사 → 최종 '간호사'
간호사 선택 이유: 사람을 돌보는 것에 큰 의미를 두고, 나와 맞는 직업이라서(일부 판독 어려움) / 치위생사 결승 진출 이유: '부모님이 치위생사를 하길 원하셨기 때문'
최종 선택 이유: '내가 더 하고 싶고 나와 적성이 맞다고 생각이 들기 때문' / 치위생사 포기 이유: '치위생사를 선택하기보다 내가 더 하고 싶은 것을 하고 싶기 때문'
AI 관련 정도: 미기재</t>
        </is>
      </c>
      <c r="E9" s="5" t="inlineStr">
        <is>
          <t>부모님이 원하는 직업(치위생사)과 본인이 원하는 직업(간호사)을 결승에서 비교해 본인 선택을 따름 — 1-1의 '부모님과 의견이 달라서'와 연결되는 신호로, 보호자 상담 시 참고.</t>
        </is>
      </c>
      <c r="F9" s="5" t="inlineStr">
        <is>
          <t>AI 관련 정도 분석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간호사
AI 대체 가능: 환자 기록 정리 및 문서 작성, 환자 상태 모니터링, 기초 상담 및 안내 / 협업: 질병 위험 예측 및 조기 발견, 맞춤형 환자 관리, 응급상황 우선순위 판단 보조 / 대체 불가: 공감과 정서적 지지, 윤리적 판단과 책임, 예상치 못한 상황 대처
체크: 'AI가 예상보다 더 많이 대체할 수 있었다'
놀란 점: 'AI가 응급도를 빠르게 분석해 추천하면 간호사가 현장 상황과 상태로 종합적으로 최종 판단을 할 수 있다는 것에 놀랐다'
키울 역량: 소통·협업 능력, 공감능력, 윤리적 판단력(필요한 이유는 미기재)
모둠(간호사·국제회의전문가·의사·패션코디네이터·전문의사) 결론: 'AI가 절대 못 하는 건 사람 간의 유연한 대처이다'</t>
        </is>
      </c>
      <c r="E10" s="5" t="inlineStr">
        <is>
          <t>AI와 간호사의 협업 구조(AI 분석 → 간호사 최종 판단)를 정확히 이해함.</t>
        </is>
      </c>
      <c r="F10" s="5" t="inlineStr">
        <is>
          <t>역량별 이유, 준비 1가지, 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간호학과 / 관심 대학: 가천대학교
학과 개요: 기본간호학, 성인간호학, 아동간호학, 해부학, 병리학 등을 배움
적성 연결: 인체나 질병에 관심이 있고, 남을 도와주는 것을 좋아함
고교 관련 과목: 화학, 생명과학, 사회와 문화, 세포와 물질대사, 생물의 유전 / 대학 주요 교과목: 기본간호학, 성인간호학, 아동간호학, 해부학, 병리학
자격증: 간호사 면허, 보건교사, 보육교사(판독 추정) / 진출 분야: 병원, 보건교사, 간호사 / 전망: 취업률 64.8%
지금 노력할 것: '간호학을 하기 위한 역량 기르기'</t>
        </is>
      </c>
      <c r="E11" s="5" t="inlineStr">
        <is>
          <t>모든 칸을 채웠고 고교 관련 과목을 진로 선택 과목(세포와 물질대사, 생물의 유전)까지 구체적으로 조사함.</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470·894·291·324 / 교과 학생부교과 70%+서류종합 30% / 종합 1단계 서류종합 100%, 2단계 면접 40%+1단계 성적 60% / 논술 논술 70%+교과 20%+출결 10% / 정시 수능 80%+학생부평가 20% / 최저: 교과 X, 종합 X, 논술 O, 정시 X
반영 교과·과목 수·방법: 미기재
전형별 준비도: 별점을 칠했으나 수정 흔적이 많아 정확한 개수 판독 어려움
도전 전형: 가천대 / 모집단위 칸 '255'(판독 어려움) / 보건간호 계열 / 수시 학생부종합 — 선택 이유: '준비성이 상대적으로 높기 때문'</t>
        </is>
      </c>
      <c r="E12" s="5" t="inlineStr">
        <is>
          <t>학급에서 드물게 step2(도전 대학·전형·선택 이유)까지 작성함 — 가천대 간호로 7차시·최종 목표와 일관됨.</t>
        </is>
      </c>
      <c r="F12" s="5" t="inlineStr">
        <is>
          <t>반영 교과 미기재, 별점 판독 어려움</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간호사 / 희망 학과 간호학과 / 목표 계열 보건·간호계열 → 모두 '그대로 유지'
유지 이유: '1학년 1학기까지 생각했을 때 간호계열이 아니면 힘들 것 같아서'
최종 진로 목표: 간호·보건계열 / 간호사 / 간호학과 / 가천대학교
과목 설계: 국어(대학의 기본은 문해력…) 주제탐구독서 / 수학·영어 미기재 / 사회: 세계사, 세계시민과 지리 / 과학(대학의 권장 과목이기 때문): 물리학, 화학 → 화학 반응의 세계, 생명과학 → 세포와 물질대사 / 기타: 중국어, 중국어 회화
수시 관심: 학생부종합 / 정시 관심: 수능 / 2학기 집중 과제: '내신을 최대한 올리기 위해 노력해야 합니다!!'
2학기 다짐: '1학기의 성적을 최대한 커버해야 해…'</t>
        </is>
      </c>
      <c r="E13" s="5" t="inlineStr">
        <is>
          <t>1-4부터 최종까지 간호사·간호학과·가천대로 매우 일관되고, 과목 선택도 대학 권장 과목을 근거로 계열 연계형으로 설계함.
다짐 '1학기 성적을 최대한 커버해야 해…'에서 1학기 성적에 대한 부담이 드러남.
수학·영어 과목 설계가 비어 있어 간호계열 권장 과목(확률과 통계 등) 안내 필요.</t>
        </is>
      </c>
      <c r="F13" s="5" t="inlineStr">
        <is>
          <t>수학·영어 과목 설계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소비자학 전공
학업역량 B&gt;C&gt;A — 이유: B·C 모두 우수하지만 B의 세특이 더 깊고, B는 계속 탐구해 나감(일부 판독 어려움)
진로역량 C&gt;B&gt;A — 이유 미기재
공동체역량 — 순위·이유 미기재
예상 C-B-A → 결과 B-A-C
느낀 점: 미기재
배운 점: 생각보다 예상한 대로 잘 안 맞아 당황스러웠지만, B의 세특처럼 점점 성장해야겠다</t>
        </is>
      </c>
      <c r="E14" s="5" t="inlineStr">
        <is>
          <t>예상과 결과가 크게 달랐던 경험을 성장 다짐으로 연결함.</t>
        </is>
      </c>
      <c r="F14" s="5" t="inlineStr">
        <is>
          <t>진로역량 이유, 공동체역량 전체, 느낀 점 미기재</t>
        </is>
      </c>
    </row>
    <row r="15" ht="194"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주제탐구(원본 활동지에 '이주희와 함께'로 적음)
선택 이유: 진로가 아직 명확하진 않지만, 간호·보건에서 다룰 수 있는 주제들을 탐색해보고 싶어서
관심 분야: 간호, 보건, 치과
[보완본] 그렇게 생각한 이유: 사람의 건강 때문에 나타나는 몸의 현상에 관심이 많았고, 생활 변화에 따라 나타나는 몸의 변화도 궁금함
[보완본] 잠정 탐구 주제: 시험기간 때와 평소 학교생활의 몸 상태 변화 / 여백 메모: '설문 만들어 생활 보기?'
여백 메모: 주제 선정 → 자료조사 → 분석
주제 선택 이유·8차시 계획·다짐: 미기재</t>
        </is>
      </c>
      <c r="E15" s="5" t="inlineStr">
        <is>
          <t>P-2 스캔본 21쪽에 1차시 보완본이 따로 들어 있어 원본과 합쳐 정리함.
1학기 내내 간호사·간호학과로 일관된 진로에서 '생활 변화에 따른 몸 상태'라는 보건 관련 주제를 이끌어냄. 원래 짝이던 이주희와는 2차시부터 각자 다른 주제로 진행하는 것으로 보임.</t>
        </is>
      </c>
      <c r="F15" s="5" t="inlineStr">
        <is>
          <t>주제 선택 이유, 8차시 계획표, 다짐 미기재</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개인(with 칸 비움)
핵심 탐구 질문: '평소와 시험기간에 따른 생활 변화'(판독 추정)
하위 질문 ①~③: 미기재
활용할 자료원: 미기재
[P-3 시간에 다시 제출한 P-2 보완본] 핵심 탐구 질문을 고쳐 씀(처음 쓴 '평소와 시험기간에 따른 생활 변화, 카페인 섭취 변화'는 줄을 그어 지움)
· 핵심 탐구 질문: 시험기간에 고등학생의 생활습관은 평소와 어떻게 달라지고, 이 변화는 어떤 영향을 줄까?
· 하위 질문 ①: 시험기간과 평소를 비교했을 때 카페인 섭취량과 수면시간은 얼마나 달라지는가?
· 하위 질문 ②: 시험 기간의 카페인 섭취는 수면의 질·신체 증상과 어떤 관계가 있는가?('스트레스'는 지움)
· 하위 질문 ③: 미기재 / 활용할 자료원: 보건복지부 사이트 / with: 비어 있음</t>
        </is>
      </c>
      <c r="E16" s="5" t="inlineStr">
        <is>
          <t>핵심 질문 한 줄만 적고 나머지가 모두 비어 있음 — 질문 형태로 다듬고 하위 질문을 세우도록 개별 지도 필요.
1차시 보완본은 '몸 상태 변화', 2차시는 '생활 변화'로 적혀 있어 탐구 초점(건강 vs 생활습관)을 함께 정리해 주면 좋겠음.
[P-3 때 보완] 질문 형태로 다듬고 하위 질문 2개를 세움. 초점이 '카페인 섭취 → 수면·신체 증상'으로 좁혀져 P-3에서 찾은 자료(고카페인 에너지음료 논문·보건복지부 자료)와 연결됨. 1차시 보완본의 '몸 상태 변화'와 이번 '생활습관 변화' 초점이 섞여 있어 정리 필요.</t>
        </is>
      </c>
      <c r="F16" s="5" t="inlineStr">
        <is>
          <t>하위 질문 ③ 미기재
핵심 질문 판독 추정</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출처 2개만 적고 요약은 전부 미기재
① 한국학술지인용색인(KCI): 청소년의 고카페인 에너지음료 섭취 실태 및 부작용 검토(계명대학교 소속 저자, 일부 판독 추정)
② 보건복지부: 고카페인 음료 (섭취) 빈도
핵심 내용 요약 ①~⑤, 나의 생각/메모: 미기재</t>
        </is>
      </c>
      <c r="E17" s="5" t="inlineStr">
        <is>
          <t>P-2를 '카페인 섭취 → 수면·신체 증상'으로 좁혀 다시 쓴 방향(이번 시간 제출한 P-2 보완본 참고)과 자료 제목이 일치함. 자료는 찾았으나 읽고 요약하는 단계는 하지 않음 — 요약 작성 안내 필요.</t>
        </is>
      </c>
      <c r="F17" s="5" t="inlineStr">
        <is>
          <t>핵심 내용 요약 ①~②, 자료 ③~⑤, 메모 미기재
출처 ① 저자명 일부 판독 추정</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10808 김하랑)</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자기소개 진진가: '나는 강아지를 키운다 / 나는 원래 앞머리를 내리고 다녔다 / 나는 원래 특성화고를 가려고 했다'(가짜 1번), '나는 MBTI가 ENFP다 / 나는 꿈이 어린이집 교사다 / 나는 검정색을 제일 좋아한다'(가짜 3번)
질문지: 자신 있게 말할 수 있다·노력하고 있다·가족과 이야기·필요한 공부를 안다 → 모두 '그렇다', 상담 경험 → '매우 그렇다'
상담 상대: 교사, 부모나 친척, 선배나 친구 / 진로 결정 시 중요: 나의 소질과 적성 / 정보 탐색: 인터넷
노력: 흥미와 적성을 찾기 위한 비교·활동 참여 / 어려운 점: 나의 특성을 몰라서
약속: ★완벽 — '수업 준비를 먼저 완벽하게 해야 진로 수업이나 활동에 적극 참여할 수 있다고 생각이 들어서입니당'
깨달은 점: '이제 진짜 고등학생이 됐구나.. 열심히 해야겠다 ㅠㅠ' / 다섯 글자: '화이팅하자'</t>
        </is>
      </c>
      <c r="E5" s="5" t="inlineStr">
        <is>
          <t>입학 초부터 '꿈이 어린이집 교사'라고 밝혔고(진진가에서 참인 문장), 진로 자신감 문항도 모두 긍정적임.</t>
        </is>
      </c>
      <c r="F5" s="5" t="inlineStr">
        <is>
          <t>-</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대부분 정확히 작성: 정시=수능, 교과/학생부종합, 수능 최저학력, 5등급제·상위 10%, 수행+지필, 수행평가, 192학점, 진로, 1학년 여름방학, 과정, 교과학습발달상황 세특, 적극적인 태도, 자율자치·동아리, 공통·통합사회/통합과학
미기재: 행동특성 및 종합의견, 정시 반영 요소, 7번(역전·주도성), 8번 다짐</t>
        </is>
      </c>
      <c r="E6" s="5" t="inlineStr">
        <is>
          <t>앞부분은 정확하나 후반부 빈칸이 비어 있음.</t>
        </is>
      </c>
      <c r="F6" s="5" t="inlineStr">
        <is>
          <t>5번 일부, 6번 마지막, 7번, 8번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277 대신 27.7을 곱해 적었으나(27.7×10/100 등) 결과값은 27.7·94.18·182.82·249.3·277로 적음. 최종 '○등까지' 칸은 비어 있음
3번(동점자 등급·세특·세특 확인 시기), 4번 느낀 점: 미기재
목표 점수: 국어 70, 수학 42, 영어 67, 한국사 62, 통합사회 64, 통합과학 42
시험 계획: 4/9~4/10만 작성(국어 파수꾼 본문 읽기·낱말 OX 풀기, 윗박지D 주제·갈래 알기 / 수학 이차함수 문제 풀기 / 영어 본문 단어 외우기 / 한국사 개념완성 문제집 / 통합사회 2단원 복습 / 통합과학 부교재 빈칸 채우기)</t>
        </is>
      </c>
      <c r="E7" s="5" t="inlineStr">
        <is>
          <t>계산식에 277 대신 27.7을 쓰는 등 개념 확인이 필요하고, 등수 칸·3번 문항이 비어 있음.
수학·과학 목표 점수(42점)가 낮게 설정됨. 계획은 첫 이틀만 작성.</t>
        </is>
      </c>
      <c r="F7" s="5" t="inlineStr">
        <is>
          <t>등급별 최종 등수, 3번 전체, 느낀 점, 4/11 이후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②사교성(프란츠 리스트 / 소셜미디어 마케터·방송진행자·여행가이드) ③협동심(공자 / 국제협력기구 전문가·전통기술 기술자·사회적기업 운영자)
핵심 강점: 긍정성 — 연관 단어: 희망, 행복, 세상, 낙관적, 긍정적, 웃음, 미소 등 / 강화 방안: 사진 찍을 때도 웃기(일부 판독 어려움)
MIT 희망 전공 = 추천 전공: 유아·특수교육(유치원교사·특수교육교사·보육교사), 음악(연주가·작곡가·가수), 국어국문학(출판물기획자·소설가·작가)
가장 선호하는 계열: 교육계열
일치 여부: '일치한당 ^^'
선호 직무 유형·직업 가치: 미기재</t>
        </is>
      </c>
      <c r="E8" s="5" t="inlineStr">
        <is>
          <t>희망 전공과 추천 전공 3개가 순위까지 완전히 일치 — 자기 이해도가 매우 높음. 음악(피아노) 관심도 함께 드러남.</t>
        </is>
      </c>
      <c r="F8" s="5" t="inlineStr">
        <is>
          <t>강화 방안 일부 판독 어려움, 선호 직무 유형·직업 가치 미기재</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유치원교사(만 0~5세 영유아 대상 보육 중심 / 유아교육과·아동교육과), 연주가(작곡가의 음악을 악기로 연주해 청중에게 전달 / 음악학과·작곡과), 보육교사(어린이집·놀이방 등 아동복지시설에서 유치원·초등학교 입학 전 아동을 돌보고 교육 / 아동교육과), 작곡가(노래를 만들고 곡의 악기를 정해 과정을 감독·조율 / 음악학과·작곡과·피아노학과)
필요 능력: 4개 직업 모두 미기재
토너먼트: 결승 유치원교사 vs 연주가 → 최종 '유치원교사'
선택 이유: '내가 지금 제일 하고 싶은 것이고 제일 재밌게 할 것 같아서' / 연주가 선택 이유: '어릴 때부터 피아노를 배워와서' / 포기 이유: '연주가도 좋긴 하지만 유치원 교사가 제일 좋아서 ^^'
AI 관련 정도: 미기재</t>
        </is>
      </c>
      <c r="E9" s="5" t="inlineStr">
        <is>
          <t>유아교육과 음악(피아노) 두 관심을 비교해 유치원교사를 선택함.
유치원교사 설명에 '만 0~5세 보육'을 적어 보육교사(어린이집)와 유치원교사의 구분이 섞여 있음.</t>
        </is>
      </c>
      <c r="F9" s="5" t="inlineStr">
        <is>
          <t>필요 능력, AI 관련 정도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유치원교사(모둠 기록 기준, 직업명 칸은 미기재)
AI 대체 가능: 출결·교육기록 작성, 반복적인 학습 콘텐츠 제공, 일정·행사 관리 / 협업: 아이 맞춤형 교육 설계, 학부모 상담 준비, 수업 자료 제작 / 대체 불가: 아이의 감정을 읽고 안정감을 주는 일, 또래 관계 조정과 인성 형성, 아이의 잠재력과 개성을 발견하는 일
체크: 'AI가 예상보다 더 많이 대체할 수 있었다'
놀란 점: 'AI가 예상보다 더 중요한 출결, 행사 관리 같은 것을 많이 해버려서 살짝 놀랐다'
키울 역량: 수업·콘텐츠 설계 능력(아이들의 수준과 흥미에 맞게 활동을 조직·설계하는 교사의 역할), 윤리적 판단력(아이를 공정하고 안전하게 대하기 위해), 현장 경험·직관(돌발 상황에 빠르게 대처하기 위해)
모둠(일식조리사·유치원교사·초등교사·애견미용사) 결론: 'AI가 절대 못 하는 건 정서적 공감과 유연한 소통능력이다'</t>
        </is>
      </c>
      <c r="E10" s="5" t="inlineStr">
        <is>
          <t>AI 분석과 역량 선택 이유가 유아교육 현장에 맞게 구체적임.</t>
        </is>
      </c>
      <c r="F10" s="5" t="inlineStr">
        <is>
          <t>직업명 칸, 준비 1가지, 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유아교육과 / 관심 대학: 공주대학교
학과 개요: 보통 만 0~8세 정도 아이들의 발달과 교육을 전문적으로 배우는 학과
적성 연결: '아이들을 좋아하고, 아이들을 돌보는 걸 잘함!!'
고교 관련 과목: 모든 교과의 일반 선택 과목을 골고루 이수해야 하지만 굳이 고르자면 국어
대학 주요 교과목: 보육(영유아) 교육과정, 아동(영유아) 안전관리, 영유아 놀이지도, 유아교육론, 영유아 발달과 교육
자격증: 보육교사 자격증, 아동심리상담사 자격증 / 진출 분야: 어린이집, 유치원, 베이비시터 / 전망: 취업률 82%
지금 노력할 것: 모든 교과의 일반 선택 과목을 골고루 듣고, 유아교육에 대해 많이 알아보고, 동아리 같은 것도 열심히 참여하기!!</t>
        </is>
      </c>
      <c r="E11" s="5" t="inlineStr">
        <is>
          <t>모든 칸을 성실하게 채움. '모든 교과를 골고루 이수해야 한다'는 점을 스스로 조사해 적은 점이 좋음.</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교과 관련 영역 서류종합평가 30%(학생부교과 70% 부분 누락), 최저 미적용 / 종합 서류종합평가 100% → 면접 40%+1단계 성적 60%, 최저 미적용 / 논술 학생부 30%(교과 20%·출결 10%)+논술 70%, 최저 적용 / 정시 '수능 60%, 실기 40%'(오기), 최저 미적용
반영 교과: 학생부교과 국어·수학·영어·사회·과학
전형별 준비도 별점: 미기재 / 도전 전형·선택 이유: 미기재</t>
        </is>
      </c>
      <c r="E12" s="5" t="inlineStr">
        <is>
          <t>대체로 채웠으나 정시 전형 방법을 '수능 60%·실기 40%'로 잘못 적음. 본인 준비도 점검은 비어 있음.</t>
        </is>
      </c>
      <c r="F12" s="5" t="inlineStr">
        <is>
          <t>논술 반영 교과,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어린이집 교사 → '그대로 유지' / 희망 학과 유아교육과 → '그대로 유지' / 목표 대학·계열 인천대학교·교육계열 → '부분 수정'
유지 이유: '내가 제일 하고 싶은 직업은 어린이집 교사여서다!!'
최종 진로 목표: 교육계열 / 어린이집 교사 / 유아교육과 / 인천대학교
과목 설계: 국어(언어 발달 지도) 주제탐구독서 / 수학(연결 포인트 메모) X / 영어(유아 영어교육) 미디어 영어 / 사회(사회성) 윤리와 사상 / 과학(생태 교육) 생명과학
수시 관심: 학생부종합 / 정시: 미체크
2학기 집중 과제: '진로와 관련된 교과 활동과 세특을 관리하기'
2학기 다짐: '수업과 활동에 적극적으로 참여하겠습니당'</t>
        </is>
      </c>
      <c r="E13" s="5" t="inlineStr">
        <is>
          <t>1-1부터 최종까지 영유아 교육 진로가 매우 일관됨. 과목마다 유아교육과의 연결 포인트(언어 발달, 유아 영어, 생태 교육)를 적은 점이 좋음.
1-5엔 '유치원교사', 최종엔 '어린이집 교사'로 적음 — 유아교육과(유치원 정교사)와 보육교사(어린이집) 자격 경로 차이를 안내하면 좋음.
1-7엔 공주대, 최종엔 인천대로 목표 대학 변경.
1-3 수학·과학 목표 점수가 낮아, 1-7에서 스스로 적은 '모든 교과 골고루 이수'와 함께 학습 상담 참고.</t>
        </is>
      </c>
      <c r="F13" s="5" t="inlineStr">
        <is>
          <t>수학 과목 선택 X, 정시 관심 전형 미체크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2025(학과 미기재)
학업역량 A&gt;B&gt;C — 이유: 스스로 예습·복습하고 적극적으로 질문함, 책임감이 높고 동아리 회장·리더십도 탁월함
진로역량 C&gt;B&gt;A — 이유: 진로 독서활동에서 전공 관련 '컴퓨터 알고리즘'을 키워드로 생각을 발전시켰고, 교과 학습에서도 단순 암기를 넘어 문제해결력·사고력을 키움
공동체역량 B&gt;A&gt;C — 이유: 동아리에서 부원들의 탐구를 도우려 노력했고, 학급 반장으로서 협동·의사소통 자세가 돋보임
예상·결과 미기재
느낀 점: 합격자 생기부를 보며 생기부가 어떻게 쓰이는지, 어떤 활동으로 어떻게 채워야 하는지 알 수 있어서 좋았다
배운 점: 생기부를 어떤 활동으로 어떻게 채워 나가야 하는지 잘 배운 것 같다</t>
        </is>
      </c>
      <c r="E14" s="5" t="inlineStr">
        <is>
          <t>세 역량 이유를 모두 구체적 근거(독서 키워드, 반장·동아리 역할)로 작성 — 학급에서 완성도가 높은 편.</t>
        </is>
      </c>
      <c r="F14" s="5" t="inlineStr">
        <is>
          <t>선택 학과, 예상·결과 순위 미기재</t>
        </is>
      </c>
    </row>
    <row r="15" ht="194"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체크 칸은 비어 있으나 주제탐구(A) 칸을 작성 — 간보민과 짝
선택 이유: 유아교육 진로 관심을 바탕으로 유아의 성장과 교육을 직접 탐구하며 진로 성숙도를 높이고 싶어서. 궁금한 내용을 스스로 조사하고 알아가는 학습을 좋아해 흥미·학습 스타일에도 잘 맞는다고 생각함
관심 분야: 유아교사, 아동심리, 유아교육
그렇게 생각한 이유: 아이들의 성장과 발달을 돕는 일에 관심이 있고, 유아의 행동과 교육 방법을 알아가는 것이 흥미로워서
잠정 탐구 주제: 유아의 건강한 성장을 위한 영양식품의 중요성과 유아교육의 연관성
주제 선택 이유·8차시 계획·다짐: 미기재</t>
        </is>
      </c>
      <c r="E15" s="5" t="inlineStr">
        <is>
          <t>1학기(유치원·어린이집 교사, 유아교육과)와 일관된 진로 연계형 주제. 선택 이유를 진로 성숙도·흥미·학습 스타일 세 측면으로 모두 설명해 활동 취지를 잘 이해함.
짝 간보민의 식품영양 관심을 합친 융합 주제를 1차시부터 제시함.</t>
        </is>
      </c>
      <c r="F15" s="5" t="inlineStr">
        <is>
          <t>트랙 체크 칸 비어 있음(내용상 주제탐구)
주제 선택 이유, 계획표, 다짐 미기재</t>
        </is>
      </c>
    </row>
    <row r="16" ht="208"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간보민(10802)과 2인 1조
핵심 탐구 질문: 유아의 건강한 성장을 위해 영양식품은 왜 중요하며, 영양교육은 유아의 건강한 식습관 형성에 어떤 영향을 미치는가?
하위 질문 ①: 유아기의 균형 잡힌 영양 섭취가 신체 성장과 두뇌 발달에 어떤 영향을 미치는가?
하위 질문 ②: 유아의 건강한 성장에 필요한 주요 영양소와 이를 포함한 식품에는 무엇이 있는가?
하위 질문 ③: 유아교육에서 올바른 식습관과 영양교육이 중요한 이유는 무엇이며, 실제 교육에서는 어떻게 이루어지는가?
활용할 자료원: 보건복지부·교육부 자료, 질병관리청 건강영양정보, 식품의약품안전처 자료, 관련 논문 및 기사</t>
        </is>
      </c>
      <c r="E16" s="5" t="inlineStr">
        <is>
          <t>간보민과 같은 내용. 1차시 잠정 주제가 그대로 탐구 질문으로 발전해 흐름이 자연스러움.
짝 활동이므로 역할 분담(영양 파트 vs 유아교육 파트)을 정해두면 개인별 기록에 도움이 됨.</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5개 수집(모두 공공기관 자료)
① 질병관리청 국가건강정보포털 「식이영양(영유아)」: 유아기는 성장과 활동에 필요한 영양소가 많이 필요하며 식습관이 형성되는 시기로 영양교육이 중요하다.
② 교육부 「유치원 급식 운영관리 지침서」: 유치원에서 균형 잡힌 급식을 제공하고 올바른 식습관을 형성하도록 하는 것이 유아의 건강한 성장에 도움이 된다.
③ 식품의약품안전처 「어린이 식생활·영양교육 자료」: 어린이가 채소를 골고루 먹고 건강한 것을 선택하는 등 올바른 식습관을 형성하도록 영양교육 과정을 활용할 수 있다.
④ 식품의약품안전처 「어린이 식생활·영양 교육콘텐츠 사용 가이드」: 미취학 어린이를 대상으로 식생활과 영양에 대해 쉽게 배울 수 있는 교육 콘텐츠를 제공한다.
⑤ 교육부 「3~5세 연령별 누리과정 교사용 지침서」: 유아의 연령과 발달 수준에 맞는 다양한 활동과 교육 실제를 수행할 수 있도록 지도 방법과 활동 예시를 제시한다.
나의 생각/메모: 자료를 조사하며 유아의 건강한 성장을 위해서는 영양가 있는 음식을 제공하는 것뿐 아니라, 유아가 스스로 건강한 음식을 선택하고 올바른 식습관을 형성하도록 교육하는 것도 중요하다고 생각하게 되었다.</t>
        </is>
      </c>
      <c r="E17" s="5" t="inlineStr">
        <is>
          <t>자료명·기관명을 정확히 적은 5개 자료를 모두 요약하고 자기 생각까지 씀 — 학급에서 출처 표기가 가장 정확한 활동지 중 하나. P-2 계획서의 자료원(교육부·식약처 등)을 그대로 활용했고, 짝 간보민과 같은 주제를 다른 자료로 조사해 서로 보완됨.</t>
        </is>
      </c>
      <c r="F17" s="5" t="inlineStr">
        <is>
          <t>-</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10809 김하율)</t>
        </is>
      </c>
    </row>
    <row r="2" ht="62" customHeight="1">
      <c r="A2" s="2" t="inlineStr">
        <is>
          <t>※ 활동지 스캔본(PDF)을 바탕으로 정리. 필체 판독이 어렵거나 학생이 미기재한 항목은 '판독 어려움/미기재'로 표기함. 1학기(1-1~1-8, 최종) 개인 스캔본과 2학기 2-2 학급 스캔본을 반영함. 1학기 스캔본(16쪽)에는 1-3 활동지가 포함되어 있지 않음. 2학기 진로 프로젝트(개별 프로젝트) P-1(1차시 트랙 선택·계획서)·P-2(2차시 트랙별 활동지) 학급 스캔본을 추가 반영함. P-2 스캔본에 함께 들어 있던 1차시 활동지 보완본(다시 작성한 앞장)은 P-1 행에 합쳐 정리함. P-3(3차시: 주제탐구 자료 수집 / 진로독서 독서 전 활동 / 습관형성 1주차 기록표) 학급 스캔본을 추가 반영함. P-3 활동지 여백에 새로 적은 탐구 주제·질문(2차시 보완 내용)은 P-2 행에 합쳐 정리함.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 선생님께: '1년 동안 잘 부탁드려요'
자기소개 진진가: '나는 축구 클럽을 다녔다 / 나는 풋살 전국 대회 우승을 해 봤다 / 나는 누나가 있다', '나는 풋살을 10년 배웠다 / 나는 안산시 클럽 축구 대회 우승을 했다 / 나는 원곡중 축구부로 도대회 준우승을 했다'
질문지: 자신 있게 말할 수 있다·가족과 이야기·상담 경험 → '매우 그렇다', 노력하고 있다·필요한 공부를 안다 → '보통'
상담 상대: 교사 / 진로 결정 시 중요: 나의 소질과 적성 / 정보 탐색: 진로 상담
노력: 틈틈이 정보 수집 / 어려운 점(기타): '내신'
약속: ★집중 — '집중해서 하면 기억에도 잘 남아서'
깨달은 점: '강서고가 좋다' / 다섯 글자: '너무 피곤함'</t>
        </is>
      </c>
      <c r="E5" s="5" t="inlineStr">
        <is>
          <t>축구·풋살 경력(10년, 대회 우승·준우승)이 뚜렷함 — 이후 체육교사 진로와 직결.
진로 결정의 어려움으로 '내신'을 직접 적음.</t>
        </is>
      </c>
      <c r="F5" s="5" t="inlineStr">
        <is>
          <t>-</t>
        </is>
      </c>
    </row>
    <row r="6" ht="60"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1쪽(학생부 양식 안내)은 학번·이름 미기재, 2쪽 영상 빈칸 채우기(1~8번)는 전부 미기재</t>
        </is>
      </c>
      <c r="E6" s="5" t="inlineStr">
        <is>
          <t>활동지를 받았으나 작성하지 않음 — 학생부·입시 기본 개념 확인 필요.</t>
        </is>
      </c>
      <c r="F6" s="5" t="inlineStr">
        <is>
          <t>전 항목 미기재</t>
        </is>
      </c>
    </row>
    <row r="7" ht="60"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이번 스캔본(16쪽)에 1-3 활동지가 포함되어 있지 않음</t>
        </is>
      </c>
      <c r="E7" s="5" t="inlineStr">
        <is>
          <t>미제출 또는 스캔 누락 여부 확인 필요.</t>
        </is>
      </c>
      <c r="F7" s="5" t="inlineStr">
        <is>
          <t>활동지 없음(원본 확인 필요)</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①용감성(안중근 / 경찰관) ②성취지향성(권기옥 / 투자 분석가) ③끈기(세종대왕 / 운동선수)
핵심 강점: 끈기 — 연관 단어: 밥, 축구, 친구, 운동, 노력, 공부, 게임 등 / 강화 방안: '축구, 공부 꾸준히 하기'
MIT 희망 전공: 초·중등교육(수정 흔적), 체육·무용, 의료 / 추천 전공: 무용·체육(직업운동선수 / 체육학과), 초·중등교육(중·고등학교 교사 / 체육교육과), 법률·행정(경찰관 / 법학과)
가장 선호하는 계열: 교육계열(수정 흔적)
불일치 이유: 미기재
선호 직무 유형: 예술가형(판독 추정) / 직업 가치: 안정성, 사회봉사, 사회적 인정</t>
        </is>
      </c>
      <c r="E8" s="5" t="inlineStr">
        <is>
          <t>희망·추천 전공이 체육, 초·중등교육에서 겹치고 추천 관련 학과로 '체육교육과'가 나와 체육교사 진로의 출발점이 됨. 빨간 펜으로 작성.</t>
        </is>
      </c>
      <c r="F8" s="5" t="inlineStr">
        <is>
          <t>불일치 이유 미기재, 선호 직무 유형 판독 불확실</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중·고등교사(학생들 가르치기 / 언어 능력 / 체육교육과), 경찰관(국민 보호, 범죄 예방, 교통안전 / 신체·운동능력 / 경찰행정학과), 스포츠 에이전트(시합·경기 정보 수집, 훈련 설계, 스포츠 회사와 소속 선수 연결 / 대인관계능력 / 체육학과), 물리치료사(의사의 진단에 따라 운동·온열·전기·마사지 등으로 신체 회복 / 대인관계능력 / 물리치료학과)
토너먼트: 결승 중등교사 vs 물리치료사 → 최종 '중등교사'
선택 이유: '예전부터 학생들을 가르치는 교사가 되고 싶어서', '학생들과 운동하며 가르치고 싶고, 연금도 있고 안정적인 직업' / 물리치료사 선택 이유: '스포츠 에이전트보다 더 안정적인 직업' / 포기 이유: '연금이 없어서'
AI 관련 정도: 미기재</t>
        </is>
      </c>
      <c r="E9" s="5" t="inlineStr">
        <is>
          <t>4개 직업 모두 운동·체육과 연결되고, 선택 기준으로 '안정성·연금'을 반복해 언급함(1-4 직업 가치 1순위 안정성과 일치).</t>
        </is>
      </c>
      <c r="F9" s="5" t="inlineStr">
        <is>
          <t>AI 관련 정도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(중등 체육)교사로 추정 — 직업명 칸 미기재
AI 대체 가능: 객관식 채점 / 협업: 학생 맞춤형 학습 설계 / 대체 불가: 학생의 감정과 삶을 이해하는 관계 형성
체크: 미기재
새로 알게 된 점: 'AI를 이용하면 학생들에게 도움을 많이 주는구나'
키울 역량: 공감 능력(학생 상담), 수업 콘텐츠 설계(학생 가르침), AI 리터러시(학생들이 올바르게 사용하도록, 일부 판독 어려움)
지금 시작할 준비: '공부하기'
모둠 토론·명함: 미기재</t>
        </is>
      </c>
      <c r="E10" s="5" t="inlineStr">
        <is>
          <t>각 칸을 1개 항목씩 짧게 작성. 교사 관점에서 AI 활용을 긍정적으로 바라봄.</t>
        </is>
      </c>
      <c r="F10" s="5" t="inlineStr">
        <is>
          <t>활동지에 학번·이름 미기재(본인 스캔본에 포함되어 본인 것으로 판단)
모둠 토론, 명함, STEP3 체크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체육교육학과 / 관심 대학: 동국대
학과 개요: 이론과 실기를 바탕으로 학생들의 건강한 삶을 가르칠 수 있는 전문 체육교사와 체육교육 전문가를 양성하는 학과
적성 연결: '신체활동을 좋아함'
고교 관련 과목: 체육, 윤리 / 대학 주요 교과목: 운동생리학, 체육철학, 체육교육개론, 체육교과교육론 등
자격증: 중등학교 2급 정교사 / 진출 분야: 기업 및 산업체, 학계 및 연구기관, 정부 및 공공기관 / 전망: 취업률 40~60%
지금 노력할 것: '내신 관리하면서 운동 꾸준히 하기'</t>
        </is>
      </c>
      <c r="E11" s="5" t="inlineStr">
        <is>
          <t>모든 칸을 채웠고 대학 교과목까지 실제로 조사함. 5차시 중등교사와 일관.</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4·9·5·11(정시 9명을 11로 적음) / 교과 교과 관련 영역 서류종합평가 30%, 최저 미적용 / 종합 1단계 서류종합 100%, 2단계 면접 40%+1단계 성적 60%, 최저 X / 논술 학생부 30%(교과 20%·출결 10%)+논술 70%, 최저 O / 정시 수능 80%+학생부평가 20%, 최저 X
반영 교과: 학생부교과 국어·수학·영어·사회·과학 등 / 논술 반영 과목 수: 공통과목을 제외한 상위 10과목
전형별 준비도 별점: 미기재 / 도전 전형·선택 이유: 미기재</t>
        </is>
      </c>
      <c r="E12" s="5" t="inlineStr">
        <is>
          <t>모집요강 표는 대부분 정확히 채움. 본인 준비도 점검·도전 전형은 비어 있음.</t>
        </is>
      </c>
      <c r="F12" s="5" t="inlineStr">
        <is>
          <t>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체육교사 / 희망 학과 체육교육학과 / 목표 대학 동국대·인하대·인천대·건국대·단국대(교육) → 모두 '그대로 유지'
유지 이유: '나랑 제일 잘 맞는 직업이라고 생각해서'
최종 진로 목표: 교육 / 체육교사 / 체육교육학과 / 동국대
과목 설계: 국어(의사소통 능력과 수업 설명) 주제탐구독서 / 수학(운동 동작의 각도·궤적 등 공간 이해) 기하 / 영어(해외 스포츠 자료와 교육 자료 활용) 미디어 영어 / 사회(학생 지도를 위한 인성과 윤리 의식) 윤리와 사상 / 과학(인체와 운동 원리 이해) 생명과학 / 기타(학생 지도와 상담 능력) 인간과 심리
수시 관심: 학생부종합 / 정시 관심: 실기/실적
2학기 집중 과제: '체육 꾸준히, 공부는 더더더 열심히'
2학기 다짐: '운동은 잘하니까 공부만 더욱 열심히 남들에 몇 배를 해서 내신 올리자'</t>
        </is>
      </c>
      <c r="E13" s="5" t="inlineStr">
        <is>
          <t>축구 경력 → 1-4 체육·교육 → 1-5 중등교사 → 1-7 체육교육학과 → 최종 체육교사로 진로가 매우 일관됨. 과목 설계에서 모든 과목에 체육교사와의 연결 포인트를 적어 완성도가 높음.
1-1 '어려운 점: 내신', 최종 다짐 '공부만 더 열심히… 내신 올리자'로 학업(내신)에 대한 부담이 이어짐 — 1-2 전부 미기재, 1-3 미제출과 함께 학습 관리 상담 권장.
2-2 소감 '힘들다'와도 연결됨.</t>
        </is>
      </c>
      <c r="F13" s="5" t="inlineStr">
        <is>
          <t>활동지 학번이 흐리게 적혀 있음(스캔본 기준 본인 것으로 판단)</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교육학과
학업역량 A&gt;B&gt;C — 이유: A가 1등급을 잘 유지했고 나머지는 그렇지 않음
진로역량(수정 후 B&gt;C&gt;A로 보임) — 이유: B는 진학 관련 활동과 교과 성적이 안정적, C는 교과 성적이 애매(일부 판독 어려움)
공동체역량(수정 후 A&gt;C&gt;B로 보임) — 이유: A랑 C가 비슷하고 B는 조금 부족함
예상 A-B-C → 결과 A-B-C (일치)
느낀 점: '힘들다' / 배운 점: '열심히 생기부 채워야겠다'</t>
        </is>
      </c>
      <c r="E14" s="5" t="inlineStr">
        <is>
          <t>예상과 결과가 일치. 다만 이유가 주로 성적 중심이고 짧음.
느낀 점에 '힘들다'고 적음.</t>
        </is>
      </c>
      <c r="F14" s="5" t="inlineStr">
        <is>
          <t>진로·공동체역량 순위 수정 흔적 많아 원본 확인 필요</t>
        </is>
      </c>
    </row>
    <row r="15" ht="306"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주제탐구(습관형성 칸에 X 표시)
선택 이유: 평소 체육교사라는 직업에 관심이 많고 운동을 좋아하는 나와 잘 맞는 직업 같아 자세히 알고 싶어서 [보완본: 체육교사가 정확히 무엇을 하는지 직접 조사해보고 싶어서]
관심 분야: 체육교육(1개)
그렇게 생각한 이유: 운동을 좋아하고 많이 하면서 체육교사에 관심이 생김 [보완본: 체육교사를 희망하고 있어 체육교육에 관심이 많다]
잠정 탐구 주제: 원본 '몸이 불편한 학생에겐 어떻게 다른 학생들과 체육활동을 해야 되는지' → 보완본 '학교 체육수업에서 학생들의 운동 참여도를 높이는 방법'
주제 선택 이유(보완본): 체육수업에 참여하는 학생들의 적극성이 서로 다르다는 걸 느껴서, 흥미와 참여도를 위해 어떤 수업을 해야 할지 알아보고 싶어서
8차시 계획: 2차시 탐구 → 3차시 자료수집 → 4차시 심화탐구 → 5차시 자료분석 → 6차시 발표제작 → 7차시 모둠발표
다짐: '내 진로에 관련된 내용을 많이 찾아보면서 열심히 알아가겠다' / 자가점검 3항목 모두 체크</t>
        </is>
      </c>
      <c r="E15" s="5" t="inlineStr">
        <is>
          <t>P-2 스캔본 22쪽의 1차시 보완본을 함께 반영함. 탐구 주제를 '장애 학생과 함께하는 체육활동'에서 '체육수업 참여도 향상'으로 바꿈.
1학기 체육교사·체육교육학과 목표와 일관되고, 수업 중 직접 느낀 문제(참여 적극성 차이)에서 주제를 찾은 점이 좋음.</t>
        </is>
      </c>
      <c r="F15" s="5" t="inlineStr">
        <is>
          <t>원본 주제 선택 이유 일부 판독 어려움(보완본으로 대체)</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장준혁(10821)과 함께(with 기재)
핵심 탐구 질문: 학교 체육수업에서 학생들의 운동 참여도를 높이는 방법은 어떤 것이 있는가?
하위 질문 ①: 체육수업에서 학생들의 흥미는 수업 참여와 노력에 어떤 영향을 미치는가?
하위 질문 ②: 학생들의 흥미와 참여도를 높이기 위해 체육교사가 활용할 수 있는 수업 방법은 무엇인가?
하위 질문 ③: 수업 참여도가 체육교육 효과에 미치는 영향은 무엇인가?
활용할 자료원: 체육교육 논문(DBpia)
[P-3 활동지 여백에 추가로 적은 내용] 탐구 주제를 바꿔 다시 정리함(이전: 체육수업에서 학생들의 운동 참여도를 높이는 방법)
· 탐구 주제: 체육수업이 학생들에게 주는 영향
· 핵심 탐구 질문: 체육수업이 학생들에게 무슨 영향을 줄까?
· 하위 질문 1: 체육수업은 학생들의 학업에 어떤 영향을 줄까?
· 하위 질문 2: 체육수업이 학생들의 신체적 건강과 체력에 어떤 영향을 줄까?
· 하위 질문 3: 체육수업은 학생들의 협동심과 대인관계 형성에 어떤 영향을 줄까?
· 하위 질문 4: 인공지능 센서 및 빅데이터를 활용해 체육수업이 어떤 효과를 줄까?
· 하위 질문 5: 인공지능을 활용한 체육수업의 단점은 뭐가 있을까?</t>
        </is>
      </c>
      <c r="E16" s="5" t="inlineStr">
        <is>
          <t>핵심·하위 질문이 체육교사 진로와 직접 연결되고 흐름(흥미 → 수업 방법 → 교육 효과)이 논리적임.
짝 장준혁은 '태권도 교육의 효과와 지도자 역할'로 주제가 달라, 함께 활동하되 탐구는 각자 하는 형태로 보임.
[P-3 때 보완] 참여도 높이는 방법 → 체육수업의 영향(학업·신체·협동심·AI 효과와 단점)으로 주제를 넓히고 하위 질문을 5개로 늘림. 짝 장준혁도 같은 주제로 바꿈(3개 질문).</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5개 수집(출처는 모두 'DBpia'만 기재)
① 체육수업의 경쟁을 통한 성취감이 청소년의 학업적 열정에 긍정적인 영향을 미친다.
② 정기적인 체육수업은 신체 조성의 긍정적 변화뿐 아니라 심폐지구력·근력 등 주요 체력 요인을 유의미하게 개선한다.
③ 협동학습과 스포츠 교육 모형을 통해 학생들의 협동심 및 대인관계 형성에 매우 긍정적인 영향을 미친다.
④ AI 센서와 빅데이터를 활용한 체육수업은 학생의 신체활동을 늘리고 자기주도성을 높이며, 맞춤형 피드백으로 교육의 개인화를 가능하게 한다.
⑤ AI의 정답 기준에만 동작을 맞추려 하면 스포츠 상황에서 나올 수 있는 창의적 움직임이나 전략이 저해될 수 있다.
나의 생각/메모: 체육수업이 학생에게 어떤 효과를 주는지 새롭게 알게 되었고, 인공지능을 활용하면 어떤 장단점이 있는지도 알게 되었다.
[여백 추가 기재] 탐구 주제·핵심 질문·하위 질문 5개(→ 2차시 보완 내용은 P-2 행에 합침)</t>
        </is>
      </c>
      <c r="E17" s="5" t="inlineStr">
        <is>
          <t>자료 ①~⑤가 여백에 새로 적은 하위 질문 1~5(학업·신체·협동심·AI 효과·AI 단점)와 순서대로 대응됨 — 질문을 먼저 세우고 자료를 찾은 구조가 뚜렷함.
P-2의 '체육수업에서 운동 참여도를 높이는 방법'에서 '체육수업이 학생들에게 주는 영향'으로 주제를 넓혔고, 짝 장준혁과 자료·문장이 거의 같음(공동 조사로 보임).</t>
        </is>
      </c>
      <c r="F17" s="5" t="inlineStr">
        <is>
          <t>출처를 'DBpia'로만 적음(논문 제목·저자 미기재)</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10810 노주원)</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P-2 스캔본에 함께 들어 있던 1차시 활동지 보완본(다시 작성한 앞장)은 P-1 행에 합쳐 정리함.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 선생님께: '1년 동안 잘 부탁드립니다'
자기소개 진진가: '나의 형이 군대에 갔다 / 혈액형이 A형이다 / 꿈이 교사다', '반려동물을 키운다(일부 판독 어려움) / 게임을 좋아한다 / 영어를 좋아한다'
질문지: 자신 있게 말할 수 있다·노력하고 있다·필요한 공부를 안다 → '매우 그렇다', 가족과 이야기 → '보통', 상담 경험 → '그렇다'
상담 상대: 교사 / 진로 결정 시 중요: 나의 소질과 적성 / 정보 탐색: 인터넷
노력: 틈틈이 정보 수집 / 어려운 점: 진로 체험 기회가 부족해서
약속: ★연결 — '나의 미래에 큰 영향을 줘서'
깨달은 점: '진로가 얼마든지 바뀌어도 된다는 점' / 다섯 글자: '행복한 학교'</t>
        </is>
      </c>
      <c r="E5" s="5" t="inlineStr">
        <is>
          <t>입학 초부터 '꿈이 교사다', '영어를 좋아한다'를 밝혔고 진로 자신감이 매우 높은 편.</t>
        </is>
      </c>
      <c r="F5" s="5" t="inlineStr">
        <is>
          <t>-</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작성: 정시=수능, 학생부교과/학생부종합, 수능 최저학력, 5등급제·상위 10%, 지필+수행, 수행평가, 192학점, 진로, 1학년 여름방학, 과정, 세특, 수업에 적극적으로 참여·질문, 자율·동아리·행동특성 및 종합의견, 공통·통합사회/통합과학, 내신성적·생기부, 역전, 주도성
활동 후 다짐: 미기재</t>
        </is>
      </c>
      <c r="E6" s="5" t="inlineStr">
        <is>
          <t>영상 핵심 내용을 빠짐없이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249등(모두 정확, 계산식 기재)
100점 동점자 50명 → 전원 2등급 / 대학이 깊게 보는 항목 → 세특 / 세특 확인 → 2학년 진급 후 확인 가능
1등급 28명에 대한 느낀 점: 미기재
목표 점수: 국어 95, 수학 85, 영어 100, 한국사 90, 통합사회 93, 통합과학 95
시험 계획: 국어(작품별 공부·3월 모의고사 문제 풀기·복습), 영어(단어 복습, 2025·2026 모의고사, 1·2과 총정리, 문법 복습, 본문 해석, 포인트 정리, 총정리), 한국사(선사시대부터 조선까지 시대순 공부, 마지막 총정리)를 날짜별로 작성</t>
        </is>
      </c>
      <c r="E7" s="5" t="inlineStr">
        <is>
          <t>계산 전부 정답. 목표 점수를 매우 높게 설정했고(영어 100점) 영어·한국사 계획이 날짜별로 촘촘함.
수학·통합사회·통합과학 계획은 비어 있음.</t>
        </is>
      </c>
      <c r="F7" s="5" t="inlineStr">
        <is>
          <t>느낀 점, 수학·통합사회·통합과학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①도덕성(임마누엘 칸트 / 의약품 인허가 전문가·초중고 교사) ②끈기(세종대왕 / 연주가·운동선수) ③신중성(제갈공명 / 과학수사관 등, 일부 판독 어려움)
핵심 강점: 끈기 — 연관 단어: 끈질김, 포기, 의지, 노력, 인내, 도전, 목표 등 / 강화 방안: '힘들어도 일을 포기하지 않기'
MIT 희망 전공: 초·중등교육, 외국어문학, 국어국문학 / 추천 전공: 외국어문학(번역가·통역가·외국어강사 / 영어영문학과·독어독문학과 등), 초·중등교육(초등·중고등학교 교사 / 초등교육과·영어·국어·사회교육과 등), 유아·특수교육(유치원교사·보육교사·특수교육교사)
가장 선호하는 계열: 교육계열
불일치 이유: 미기재
선호 직무 유형: 글로벌형 / 직업 가치: 안정성, 사회봉사, 사회적 인정</t>
        </is>
      </c>
      <c r="E8" s="5" t="inlineStr">
        <is>
          <t>희망·추천 전공이 초·중등교육과 외국어문학에서 겹침 — '영어+교육'으로 이어지는 흐름이 이 차시에 이미 드러남.</t>
        </is>
      </c>
      <c r="F8" s="5" t="inlineStr">
        <is>
          <t>불일치 이유 미기재, 3순위 강점 관련 직업 일부 판독 어려움</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중·고등학교 교사(중·고등학생에게 교과과목을 가르침 / 수리·논리력, 언어능력, 자기성찰능력 / 국어·영어·사회·역사교육과), 초등학교 교사(수업 지도, 학급 운영, 생활지도 / 자기성찰능력·대인관계능력 / 초등교육과), 번역가(외국 서적·보고서 등을 우리말로, 우리말을 외국어로 옮기는 작업 / 창의력·언어능력 / 독어독문과·영어과·영어영문과), 통역가(외국인의 대화·발표를 우리말로, 우리말을 외국어로 전달 / 언어능력 / 영어영문학과·독어독문학과)
토너먼트: 결승 중·고등학교 교사 vs 번역가 → 최종 '중·고등학교 교사'
선택 이유: '중·고등학생들에게 질 좋은 교육을 해 주고 싶어서', 학생들에게 교육의 즐거움을 나누고 싶어서(일부 판독 어려움) / 번역가 선택 이유: 내가 번역한 것을 다른 사람들에게 보여 주고 싶어서 / 포기 이유: 판독 어려움
AI 관련 정도: '안정적인 기반 위에서, 세상을 넓게 보는 시각으로, 학생들의 성장을 돕고, 그 전문성을 존중받는 교육 전문가'</t>
        </is>
      </c>
      <c r="E9" s="5" t="inlineStr">
        <is>
          <t>AI 분석 문장에 직업 가치(안정성), 직무 유형(글로벌형), 사회봉사·사회적 인정을 모두 녹여 적음 — 활동 취지를 정확히 이해함.</t>
        </is>
      </c>
      <c r="F9" s="5" t="inlineStr">
        <is>
          <t>토너먼트 포기 이유 판독 어려움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중등교사
AI 대체 가능: 단순 행정 및 문서 작업, 지식의 일방향적 전달 / 협업: 초개인화된 맞춤형 학습 피드백, 기초학습 부진아 및 다문화 학생 지원 / 대체 불가: 사춘기 청소년의 정서적 교감과 상담, 사회성 및 갈등 조정 능력 함양
체크: '내 생각이 AI 답과 거의 같았다'
놀란 점: 'AI가 생각보다 다재다능하게 일을 할 줄 아는 것'
키울 역량: 수업·콘텐츠 설계 능력(수업의 질을 높이기 위해), 언어 능력(학생들에게 양질의 내용을 전달하기 위해), 수리·논리력(논리적으로 학생들을 가르치기 위해)
지금 시작할 준비: '또래 친구들에게 교과목을 가르쳐 보기'
미래 명함: AI 시대 직업명 '에듀케이션 퍼실리테이터' — 'AI가 수업하는 동안 나는 교감한다'
모둠(중등교사 5명) 결론: 'AI가 절대 못 하는 건 공감능력이다'</t>
        </is>
      </c>
      <c r="E10" s="5" t="inlineStr">
        <is>
          <t>학급에서 드물게 미래 명함 업그레이드까지 완성함. AI 분석 수준이 높고 '준비 1가지'도 구체적임.</t>
        </is>
      </c>
      <c r="F10" s="5" t="inlineStr">
        <is>
          <t>-</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영어교육과 / 관심 대학: 충남대
학과 개요: 영어에 대한 심도 있는 학문적 이해를 바탕으로, 이를 효과적으로 가르치기 위한 교수법과 교육학을 종합적으로 배움
적성 연결: 영어 문장을 해석하고 주제를 찾을 때를 좋아함
고교 관련 과목: 영어, 국어 / 대학 주요 교과목: 영어학, 영미문학, 영어교육학, 실무영어
자격증: 중등학교 1급·2급 정교사 자격증, 평생교육사 / 진출 분야: 교육공무원, 출판, 통·번역, 일반기업 해외 영업 / 전망: 취업률 44.9%~63.3% 수준
지금 노력할 것: 국어·영어 기초 탄탄히 쌓기, 언어능력·소통능력·문해력 늘리기</t>
        </is>
      </c>
      <c r="E11" s="5" t="inlineStr">
        <is>
          <t>모든 칸을 충실히 채움. 5차시 중·고등교사와 번역가 관심이 '영어교육과'로 자연스럽게 합쳐짐.</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470·894·291 / 교과 학생부교과 70%+서류종합 30% / 종합 1단계 서류종합 100%, 2단계 면접 40%+1단계 성적 60% / 논술 논술 70%+교과 20%+출결 10% / 정시 전형 방법 미기재 / 최저: 교과 X, 종합 X, 논술 O, 정시 X
반영 교과: 학생부교과·논술 모두 국·수·영·사·과 / 반영 과목 수: 상위 10과목 / 반영 방법: 3학년 1학기까지 반영
전형별 준비도 별점: 미기재 / 도전 전형·선택 이유: 미기재</t>
        </is>
      </c>
      <c r="E12" s="5" t="inlineStr">
        <is>
          <t>반영 교과·과목 수·반영 방법까지 채운 드문 학생. 본인 준비도 점검은 비어 있음.</t>
        </is>
      </c>
      <c r="F12" s="5" t="inlineStr">
        <is>
          <t>정시 전형 방법,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중·고등학교 교사 / 희망 학과 영어교육과 / 목표 대학·계열 충남대·인문사회계열·교육 → 모두 '그대로 유지'
유지 이유: '영어에 대한 흥미가 아직 꺼지지 않아서'
최종 진로 목표: 인문사회계열·교육계열 / 영어교사 / 영어교육과 / 충남대
과목 설계: 국어(발표·언어능력) 문학과 영상, 주제탐구독서 / 수학: 지움 / 영어(전공) 미디어 영어, 세계 문화와 영어 / 사회(계열 탐구) 윤리와 사상, 현대사회와 윤리 / 과학: 미기재 / 기타(제2외국어·정보) 일본어
수시 관심: 학생부 교과(실기/실적 체크는 X로 취소) / 정시 관심: 수능 / 2학기 집중 과제: '내신과 수능'
2학기 다짐: '앞으로 내신을 더 열심히 하고 수능 준비도 열심히 하겠습니다'</t>
        </is>
      </c>
      <c r="E13" s="5" t="inlineStr">
        <is>
          <t>1-1 '꿈이 교사다·영어를 좋아한다' → 1-4 교육·외국어 → 1-5 중·고등교사 → 1-7 영어교육과 → 최종 영어교사로 진로가 일관되고 근거도 분명함.
수학·과학 과목 설계가 비어 있어 사범대 지원 시 권장 과목 확인 안내 필요.
2-2에서도 교육학과 사례를 골라 학년별 성취도 추이까지 분석함.</t>
        </is>
      </c>
      <c r="F13" s="5" t="inlineStr">
        <is>
          <t>수학·과학 과목 설계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교육학과
학업역량 A&gt;B&gt;C — 이유: A는 1~3학년 교과 성취도가 1점대를 유지했고, B는 사회 교과를 제외하면 전반적으로 우수, C는 A·B에 비해 아쉬운 부분이 있음
진로역량 C&gt;B&gt;A — 이유: C는 교육 관련 활동에 적극적이고, B는 자기주도적으로 수업 시간에 멘토 역할을 함(일부 판독 어려움)
공동체역량 C&gt;A&gt;B — 이유: C는 대인관계가 가장 좋고, A는 적극적으로 도움을 줌
예상 A-B-C → 결과 A-C-B
느낀 점: 합격자들의 노력을 알게 된 느낌 / 배운 점: 입학사정관들의 노고와 고민을 배움</t>
        </is>
      </c>
      <c r="E14" s="5" t="inlineStr">
        <is>
          <t>학년별 성취도 추이, 교과별 편차까지 살펴 근거를 제시함.</t>
        </is>
      </c>
      <c r="F14" s="5" t="inlineStr">
        <is>
          <t>진로역량 이유 일부 판독 어려움</t>
        </is>
      </c>
    </row>
    <row r="15" ht="292"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주제탐구(진로 연계형)
선택 이유: 평소 교육 관련 직업에 관심이 많아 관련 지식을 모으고 탐구해보고 싶어서
관심 분야: 교사(보완본에서 '영어교사'로 수정), 교육, 강사
그렇게 생각한 이유: 영어 교육을 하면서 교육에 관심이 생겼고, 제일 관심 가는 분야가 교육이 되었음
잠정 탐구 주제: 원본 '교사의 교육 제외 업무에는 무엇이 있는가?' → 보완본 '교사의 교육방식에 따라서 학생들의 이해도가 얼마나 달라지는가?'
주제 선택 이유: 원본 '교육을 제외한 교사 업무에는 무엇이 있는지 궁금해서' → 보완본 '어떤 교육방식이 가장 효과적인지 궁금해서'
8차시 계획: 2차시 주제 선정 및 보완 → 3차시 인터넷으로 주제 세부 내용 조사 → 4차시 조사 내용 바탕 계획 구상 → 5차시 발표 베타버전 제작·보완(산출물: 발표 베타버전) → 6·7차시 발표 세부내용 구상①②
다짐: '8차시 동안 최선을 다하겠습니다' / 자가점검 1항목 체크</t>
        </is>
      </c>
      <c r="E15" s="5" t="inlineStr">
        <is>
          <t>P-2 스캔본 23쪽의 1차시 보완본을 함께 반영함. 탐구 주제를 '교사의 교육 외 업무'에서 '교육방식과 학생 이해도'로 바꿈.
1학기 영어교육과·중고등 교사 목표와 일관되며, 관심 직업에 '영어교사'를 명시해 진로가 더 구체화됨.
8차시 계획에 산출물(발표 베타버전)까지 적어 계획성이 좋음.</t>
        </is>
      </c>
      <c r="F15" s="5" t="inlineStr">
        <is>
          <t>원본 활동지 지운 부분 일부 판독 어려움</t>
        </is>
      </c>
    </row>
    <row r="16" ht="180"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
핵심 탐구 질문: 교사의 교육방식에 따라서 학생들의 이해도가 얼마나 달라지는가?
하위 질문 ①: 학생들은 말로만 들을 때 이해가 되는가, 아니면 동영상과 매체를 섞어서 할 때 얼마나 이해가 되는가?
하위 질문 ②: 말로만 들을 때 몰입도와 집중도가 더 좋은가, 아니면 자기주도식 학습을 할 때 더 좋은가?
하위 질문 ③: 교사의 교육방식이 학생의 집중력과 이해도에 미치는 영향에 대한 연구 결과는 무엇인가?
활용할 자료원: 관련 기사·논문, ScienceON</t>
        </is>
      </c>
      <c r="E16" s="5" t="inlineStr">
        <is>
          <t>강의식·매체 활용·자기주도 학습을 비교하는 구조로 질문이 명확하고, 1차시 보완본의 주제와 그대로 이어짐.</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3개 수집
① v.daum.net [사이버대(추정)]: 교사가 즐거우면 수업 효과와 만족이 높아지고, 불안하면 학습 효과 저하와 연관되어 있음.
② YTN: 고등학생은 자기주도학습만이 학업성취도를 끌어올리는 효과가 있다는 연구 결과가 나옴.
③ 연합뉴스: 사교육을 받지 않은 학생이 대학에 진학해 자기주도학습을 훨씬 잘한다는 연구 결과가 나옴.
자료 ④~⑤, 나의 생각/메모: 미기재</t>
        </is>
      </c>
      <c r="E17" s="5" t="inlineStr">
        <is>
          <t>P-2 주제(교사의 교육방식에 따른 학생 이해도 차이) 중 ①번 자료만 교사 요인과 직접 관련되고, ②·③번은 자기주도학습·사교육 이야기라 탐구 초점이 학생 쪽으로 옮겨감 — 주제와 자료의 연결 점검 필요. 출처가 매체명만 있고 기사 제목이 없음.</t>
        </is>
      </c>
      <c r="F17" s="5" t="inlineStr">
        <is>
          <t>자료 ④~⑤, 메모 미기재
기사 제목·날짜 미기재</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10811 류태준)</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단, P-1·P-2 스캔본 모두에 이 학생의 활동지가 없음. P-3(3차시: 주제탐구 자료 수집 / 진로독서 독서 전 활동 / 습관형성 1주차 기록표) 학급 스캔본을 추가 반영함. 단, P-3 활동지는 없고 대신 P-2(2차시 주제탐구 계획서)를 이번 스캔본에 제출함 → P-2 행에 반영(P-1은 여전히 없음).</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'나는 다리를 다친 적 있다 / 나는 누나가 있다 / 나는 O형이다'
질문지: 자신 있게 말할 수 있다 → '매우 그렇다', 노력하고 있다·가족과 이야기·필요한 공부를 안다 → '보통', 상담 경험 → '그렇다'
상담 상대: 교사 / 진로 결정 시 중요: 부모님 의견 / 정보 탐색: 부모님 말씀
노력: 틈틈이 정보 수집 / 어려운 점: 나의 특성을 몰라서
약속: ★연결 — '미래가 중요해서! 내가 이루고 싶은 꿈을 꾸고 싶은 것!'
깨달은 점: 미기재 / 다섯 글자: '할 수 있다 악!'</t>
        </is>
      </c>
      <c r="E5" s="5" t="inlineStr">
        <is>
          <t>진로 결정 요인과 정보 탐색 경로를 모두 '부모님'으로 체크함 — 보호자 의견의 영향이 큰 편(상담 시 참고).</t>
        </is>
      </c>
      <c r="F5" s="5" t="inlineStr">
        <is>
          <t>퀴즈 정답, 깨달은 점 미기재</t>
        </is>
      </c>
    </row>
    <row r="6" ht="60"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영상 빈칸 채우기(1~8번) 전부 미기재</t>
        </is>
      </c>
      <c r="E6" s="5" t="inlineStr">
        <is>
          <t>활동지를 작성하지 않음 — 학생부·입시 기본 개념 확인 필요.</t>
        </is>
      </c>
      <c r="F6" s="5" t="inlineStr">
        <is>
          <t>전 항목 미기재</t>
        </is>
      </c>
    </row>
    <row r="7" ht="60"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3번 문항, 느낀 점: 전부 미기재
목표 점수: 국어 80만 기재
시험 계획표: 전부 미기재</t>
        </is>
      </c>
      <c r="E7" s="5" t="inlineStr">
        <is>
          <t>국어 목표 점수 1칸 외에는 작성하지 않음. 활동지에 학번·이름도 비어 있음.</t>
        </is>
      </c>
      <c r="F7" s="5" t="inlineStr">
        <is>
          <t>활동지에 학번·이름 미기재(본인 스캔본에 포함되어 본인 것으로 판단)
거의 전 항목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②사교성(프란츠 리스트 / 소셜미디어 마케터·방송진행자·여행가이드) ③감사(소크라테스 / 영성지도자·시인 등)
핵심 강점: 긍정성 — 연관 단어 미기재 / 강화 방안: '포기하지 않기'
MIT 희망 전공: 무용·체육, 식품·조리, 초·중등교육 / 추천 전공: 체육(스포츠 트레이너 / 생활체육학과), 식품(제과제빵원 / 제과제빵과), 초·중등교육(초등학교 교사 / 음악·미술·체육교육과)
가장 선호하는 계열: 예체능계열
불일치 이유, 선호 직무 유형·직업 가치: 미기재</t>
        </is>
      </c>
      <c r="E8" s="5" t="inlineStr">
        <is>
          <t>희망 전공과 추천 전공이 3개 모두 일치(체육, 식품·조리, 교육). 이 단계에서는 반려동물 관련 관심이 드러나지 않음.</t>
        </is>
      </c>
      <c r="F8" s="5" t="inlineStr">
        <is>
          <t>연관 단어, 선호 직무 유형·직업 가치 미기재</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애완동물과(원래 직업명 칸을 지우고 적음 — 애완동물 미용사·애완동물의 미용과 청결을 담당), 스포츠 트레이너(선수의 부상을 예방하기 위해 마사지·재활·안전교육 등을 실시 / 체육학과), 초등학교 교사(학습 과제물을 점검하고 시험을 출제하고 평가 / 초등교육과), 제과제빵사(제품의 종류에 따라 재료와 과정을 달리해 빵·과자를 만듦 / 제과제빵과)
필요 능력: 미기재
토너먼트: 결승 애완동물과 vs 제과제빵 → 최종 '애완동물과'
선택 이유: '강아지를 좋아해서', '경험도 해 보고 관리도 해 봤는데 괜찮았어서'(일부 판독 어려움) / 제과제빵 선택 이유: '빵을 좋아해서' / 포기 이유: '없다'
AI 관련 정도: 미기재</t>
        </is>
      </c>
      <c r="E9" s="5" t="inlineStr">
        <is>
          <t>4차시 검사 결과에 없던 '반려동물 미용'이 새로 등장해 최고 관심 직업이 됨 — 직접 강아지를 돌본 경험이 근거.
직업명 칸에 학과명(애완동물과)을 적어 직업과 학과 개념 구분이 필요함.</t>
        </is>
      </c>
      <c r="F9" s="5" t="inlineStr">
        <is>
          <t>필요 능력, AI 관련 정도 미기재
선택 이유 일부 판독 어려움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애견 미용사(모둠 기록 기준)
AI 대체 가능: AI 챗봇이 예약 변경·시간 안내·알림 발송 자동 처리, 고객 상담 기록 관리, 반려동물 방문 주기 추천 / 협업: 사진 분석으로 피부염·귀 염증·비만·탈모 같은 이상 신호를 먼저 감지하고, 미용사는 실제 상태를 확인해 보호자에게 설명(일부 판독 어려움) / 대체 불가: 동물과의 신뢰 형성, 돌발 상황 대응, '예쁘다'를 만드는 감성·미적 감각
체크: 'AI가 예상보다 더 많이 대체할 수 있었다', '내 생각이 AI 답과 거의 같았다'
놀란 점: 'AI가 아는 게 생각보다 많아서 놀랐다'
키울 역량: 문제 해결력(문제가 일어났을 때 대처 가능), 공감 능력(혹시 모르니 고객에게 필요, 일부 판독 어려움), 윤리적 판단력(혹시 모를 상황을 윤리적으로 판단)
모둠(일식조리사·유치원교사·초등교사·애견미용사) 결론: 'AI가 절대 못 하는 건 정서적 공감과 소통능력이다'</t>
        </is>
      </c>
      <c r="E10" s="5" t="inlineStr">
        <is>
          <t>AI와 미용사의 협업 방식을 구체적으로 적었고 '동물과의 신뢰 형성'을 대체 불가 영역으로 짚음.</t>
        </is>
      </c>
      <c r="F10" s="5" t="inlineStr">
        <is>
          <t>준비 1가지, 미래 명함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반려동물과 / 관심 대학: 연성대학교
학과 개요: 반려동물의 건강·행동·복지·산업 전반을 다루는 학문
적성 연결: '강아지를 잘 다루고 배변 패드에 오줌이나 똥을 쌌을 때 칭찬해 주고 간식을 준다. 그래서 요즘 배변 패드에 싼다'
고교 관련 과목: 생명과학 / 대학 주요 교과목: 동물해부생리학, 애완동물영양학, 동물간호학, 애완동물훈련, 동물질병학
자격증: 애견미용사 / 진출 분야: 기업 및 산업체, 정부 및 공공기관 / 전망: 취업률 79.2%
지금 노력할 것: 1. 내신·수능 준비, 2. 관련 활동·생기부, 3. 자격증·실무 경험, 4. 면접 준비, 5. 현실적인 적성 확인</t>
        </is>
      </c>
      <c r="E11" s="5" t="inlineStr">
        <is>
          <t>모든 칸을 채움. 실제로 강아지 배변 훈련에 성공한 경험을 적성 근거로 들어 구체적임.
'노력할 것'을 5단계로 정리해 계획성이 보임.</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470·894·291·321 / 교과 학생부교과 70%+서류종합 30% / 종합 1단계 서류종합 100%, 2단계 면접 40%+1단계 성적 60% / 논술 논술 70%+교과 20%+출결 10% / 정시 '나군 그 외 전형: 수능 60%+실기 40%'(일부 판독 어려움) / 최저: 교과 X, 종합 X, 논술 O, 정시 X
반영 교과·과목 수·방법: 미기재
전형별 준비도 별점: 미기재 / 도전 전형·선택 이유: 미기재</t>
        </is>
      </c>
      <c r="E12" s="5" t="inlineStr">
        <is>
          <t>모집요강 표는 대부분 채웠으나 본인 준비도 점검·도전 전형은 비어 있음.</t>
        </is>
      </c>
      <c r="F12" s="5" t="inlineStr">
        <is>
          <t>반영 교과,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애견 미용 → '그대로 유지' / 희망 학과 반려동물 산업과 → '부분 수정' / 목표 대학·계열 연성대학교·라이프 디자인 → '그대로 유지'
유지 이유: '이게 맞는 거 같아서'
최종 진로 목표: 라이프 디자인 계열 / 애견 미용 / 반려동물 산업과 / 연성대학교
과목 설계(모든 칸 작성): 국어(보호자 상담·소통 능력) 화법과 작문·주제 탐구 독서·독서토론과 글쓰기 / 수학(미용 계산·매장 운영 능력) 확률과 통계·실용 수학·수학과제 탐구 / 영어(반려동물 미용 용어 이해) 영어Ⅰ·Ⅱ·영어회화·영미 문화·실생활 영어회화 / 사회(반려동물 문화·동물 윤리 이해) 사회·문화·생활과 윤리·사회문제 탐구 / 과학(동물 신체·피부·위생 관리 이해) 생명과학Ⅰ·Ⅱ·과학과제 연구 / 기타(미용 기술·디자인 감각 향상) 기술·가정·미술 창작·생활과학·직업과 경영(일부 판독 어려움)
수시 관심: 학생부 교과, 학생부 종합 / 정시 관심: 수능
2학기 집중 과제: '견종별 특성에 따른 반려동물 미용 방법 탐구'
2학기 다짐: '반려동물 미용 진로를 위해 관련 지식을 쌓고 꾸준히 노력하겠습니다'</t>
        </is>
      </c>
      <c r="E13" s="5" t="inlineStr">
        <is>
          <t>1-5부터 최종까지 애견 미용·반려동물과로 일관되고, 과목 설계에 모든 과목과 진로의 연결 포인트를 꼼꼼하게 적음 — 최종 활동지의 완성도가 매우 높음.
반면 1-2·1-3은 거의 비어 있고 2-2도 학업역량 순위만 적어, 관심 분야 활동과 학업 기초 활동의 참여도 차이가 큼.
1-1에서 진로 결정 요인을 '부모님 의견'으로 꼽은 점과 함께 보호자 상담 때 참고.</t>
        </is>
      </c>
      <c r="F13" s="5" t="inlineStr">
        <is>
          <t>과목명 일부 판독 어려움</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공과대학 컴퓨터공학부
학업역량 C&gt;A&gt;B — 이유 미기재
진로역량·공동체역량: 미기재
예상·결과: 미기재
느낀 점·배운 점: 미기재</t>
        </is>
      </c>
      <c r="E14" s="5" t="inlineStr">
        <is>
          <t>학업역량 순위만 적고 나머지가 모두 비어 있음 — 활동 참여 여부 확인 필요.</t>
        </is>
      </c>
      <c r="F14" s="5" t="inlineStr">
        <is>
          <t>학업역량 순위 외 전 항목 미기재</t>
        </is>
      </c>
    </row>
    <row r="15" ht="120"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이번 P-1 스캔본(44쪽)에 이 학생의 활동지가 없음</t>
        </is>
      </c>
      <c r="E15" s="5" t="inlineStr">
        <is>
          <t>결석 또는 미제출 여부 확인 필요.</t>
        </is>
      </c>
      <c r="F15" s="5" t="inlineStr">
        <is>
          <t>P-1 활동지 없음</t>
        </is>
      </c>
    </row>
    <row r="16" ht="120" customHeight="1">
      <c r="A16" s="4" t="inlineStr">
        <is>
          <t>P-2</t>
        </is>
      </c>
      <c r="B16" s="5" t="inlineStr">
        <is>
          <t>진로 프로젝트 2차시(주제탐구): 탐구 방법 안내 &amp; 탐구계획서 (P-3 시간에 제출)</t>
        </is>
      </c>
      <c r="C16" s="5" t="inlineStr">
        <is>
          <t>주제탐구: 탐구 질문을 구체화하고, 자료 수집 방법과 일정을 계획한다(핵심·하위 질문과 활용할 자료원 작성)</t>
        </is>
      </c>
      <c r="D16" s="5" t="inlineStr">
        <is>
          <t>[주제탐구] P-2 스캔본에는 없었으나 P-3 스캔본에 함께 제출됨
· 탐구 형태: with 칸 비움(개인)
· 핵심 탐구 질문: 애견 미용이 반려견의 건강과 위생에 어떤 영향을 미치는가?
· 하위 질문 ①: 애견 미용에는 어떤 종류가 있으며 각각 어떤 목적이 있는가?
· 하위 질문 ②: 정기적인 애견 미용이 반려견의 피부와 털 건강에 어떤 도움을 주는가?
· 하위 질문 ③: 애견 미용을 할 때 반려견의 안전과 스트레스를 줄이기 위해 주의해야 할 점은 무엇인가?
· 활용할 자료원: 애견 미용 관련 도서, 동물병원 및 수의학 관련 자료, 반려동물 관련 기사, 애견 미용 전문가 인터뷰, 인터넷 자료</t>
        </is>
      </c>
      <c r="E16" s="5" t="inlineStr">
        <is>
          <t>1학기 내내 이어진 애견 미용·반려동물 진로와 일관된 주제. 핵심 질문과 하위 질문 3개, 자료원 5가지를 모두 채워 계획서 완성도가 높음(하위 질문이 종류→효과→안전 순으로 논리적).
다만 P-1(트랙 선택)이 없고 이번 P-3 활동지(자료 수집)는 제출하지 않아 진도가 한 차시 늦음 — P-3 자료 수집 안내 필요.</t>
        </is>
      </c>
      <c r="F16" s="5" t="inlineStr">
        <is>
          <t>P-1 활동지 없음
P-3 활동지 없음(이번 묶음에는 P-2만 제출)</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10812 백우준)</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3, 2번 3
자기소개 진진가: '나는 게임을 안 한다 / 나는 발목을 안 다쳐 봤다 / 나는 강서고가 1지망이다', '나는 영화 보기를 좋아한다'
질문지: 자신 있게 말할 수 있다·상담 경험 → '보통', 노력하고 있다 → '그렇다', 가족과 이야기·필요한 공부를 안다 → '매우 그렇다'
상담 상대: 부모나 친척 / 진로 결정 시 중요: 나의 소질과 적성 / 정보 탐색: 부모님 말씀, 기타(선생님 등)
노력: 정보 수집, 진로 상담 등 여러 개 체크 / 어려운 점(기타): '미래에 대해 고민이 많아서'
진로수업에 바라는 것: '교수, 교사 되는 법(과정)'
약속: ★연결 — '수업 내용을 바탕으로 나의 삶, 미래를 결정하고 연결 짓는 것이 중요한 것 같다'
깨달은 점: '내 진로에 대해 깊게 생각을 안 해 본 것 같다는 생각이 들었다' / 다섯 글자: '1년 화이팅'</t>
        </is>
      </c>
      <c r="E5" s="5" t="inlineStr">
        <is>
          <t>진로수업에 '교수·교사 되는 법'을 알고 싶다고 적어, 입학 초부터 교수·교사 진로에 관심이 있었음 — 이후 역사교사·역사교수로 이어짐.</t>
        </is>
      </c>
      <c r="F5" s="5" t="inlineStr">
        <is>
          <t>-</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작성: 정시=수능, 교과/학생부종합, 수능 최저, 5등급제·상위 10%, 지필+수행, 수행평가, 192학점, 희망 진로, 1학년 여름방학, 과정, 과목별 세부능력 및 특기사항, 수업에 적극적으로 참여, 자율·동아리·행동특성 및 종합의견, 공통·통합사회/통합과학, 역전, 주도성
'정시에 함께 반영하는 것' 칸은 '증가'로 적음
활동 후 다짐: 미기재</t>
        </is>
      </c>
      <c r="E6" s="5" t="inlineStr">
        <is>
          <t>영상 핵심 내용을 대부분 정확히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필산·계산식 기재)
100점 동점자 50명 → 전원 2등급 / 대학이 깊게 보는 항목 → 교과별 세부능력 및 특기사항 / 세특 확인 → 2학년 진급 후 확인 가능
1등급 28명에 대한 느낀 점: 미기재
목표 점수: 국어 100, 수학 88, 영어 88, 한국사 100, 통합사회 100, 통합과학 96
시험 계획: 영어만 작성(4/9~4/11 모의고사 20·21·22·24번 분석 및 문제 풀이, 4/18 최종 점검 및 오답 확인)</t>
        </is>
      </c>
      <c r="E7" s="5" t="inlineStr">
        <is>
          <t>계산 전부 정답. 목표 점수를 매우 높게 설정함(3과목 100점).
시험 계획은 영어 모의고사 유형 분석만 작성.</t>
        </is>
      </c>
      <c r="F7" s="5" t="inlineStr">
        <is>
          <t>느낀 점, 영어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①지적 탐구심(지그문트 프로이트 / 빅데이터 전문가·대학교수·평론가·연구원) ②호기심(알베르트 아인슈타인 / 로봇공학자·과학자·기자·여론조사 전문가) ③리더십(이순신 / 지속가능경영 전문가·기업 고위임원(CEO)·영화감독)
핵심 강점: 리더십 — 연관 단어: 멋, 사공이 많으면 배가 산으로 간다, 스티브 잡스, CEO, 집단, 위기 극복 능력, 이순신, 학급회장
강화 방안: '수용하고 이해할 줄 아는 태도'
MIT 희망 전공: 사학·철학, 천문·지구, 정치·국제 / 추천 전공: 정치·국제(정치학 연구원·무역사무원 / 정치외교학과 등), 천문·지구(천문·기상학 연구원 / 우주과학과·천문학과), 외국어 문학(외국어 교사·통역가·번역가 / 불어불문학과·영어영문학과 등)
가장 선호하는 계열: 인문계열
불일치 이유: X / 선호 직무 유형: 글로벌형 / 직업 가치: 경제적 풍족, 안정성, 사회적 인정</t>
        </is>
      </c>
      <c r="E8" s="5" t="inlineStr">
        <is>
          <t>희망 전공 1순위 '사학·철학'은 추천 전공에 없었지만 이후 역사교사·사학과로 일관되게 이어짐 — 본인의 관심이 검사 결과보다 뚜렷한 경우.
'학급회장'을 리더십 연관어로 적음.</t>
        </is>
      </c>
      <c r="F8" s="5" t="inlineStr">
        <is>
          <t>불일치 이유 X 표시</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역사교사(역사 교과를 가르치고 평가하는 일, 사회현상에 대한 기초적 지식 전달 / 다양한 정보 수집 능력·비판적 사고력·인문학 전반에 걸친 지식 / 사학과·역사교육과), 항공우주공학 기술자(각종 비행물체 연구 및 개발 / 수학·물리학·공학의 능력·의사소통 능력 / 우주과학과·항공우주공학과), 기상연구원(대기의 성분 연구·기후 예측 시스템 구축 / 탐구정신·관찰력 / 천문학과·천문기상학과·천문우주학과), 국제회의 전문가(국제회의 운영·관련 준비 / 외국어 능력·리더십·의사소통 능력 / 국제관계학과)
토너먼트: 결승 역사교사 vs 국제회의 전문가 → 최종 '역사교사'
선택 이유: '안정성을 고려한 선택이며 나의 적성과 잘 맞는다', '나의 적성에 가장 잘 맞고 경제적으로도 안정하기 때문에' / 국제회의 전문가 선택 이유: '사람과의 소통을 선호하고 남에 눈에 띄면서 일하고 싶다' / 포기 이유: '연봉이 다른 직업에 비해 낮은 편이고 업무가 빡세서'
직업 가치 점검: 글로벌형과 관련도↑ / 경제적 풍족 → 중상, 안정성 → 상, 사회적 인정 → 최상</t>
        </is>
      </c>
      <c r="E9" s="5" t="inlineStr">
        <is>
          <t>4차시 검사 결과(천문·지구, 정치·국제)를 반영한 직업 3개와 본인 관심(역사교사)을 함께 비교해 최종 선택함. 직업 가치별 충족도를 스스로 평가하는 등 활동 취지를 정확히 이해함.</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역사교수(모둠 기록 기준)
AI 대체 가능: 기초 사료 번역 및 탐색, 단순 지식 전달 강의, 연구자료 검색 및 분류 / 협업: 빅데이터 기반 역사 예측 및 분석, 실감형 역사교육 콘텐츠 제작, 논문 교정 및 검증 / 대체 불가: 역사적 가치 판단과 윤리적 해석, 새로운 역사적 가설의 수립, 학생과의 정서적 교감 및 멘토링
체크: 'AI가 못 하는 부분이 생각보다 많았다'
놀란 점: '교수는 AI에게 많이 대체될 줄 알았는데 생각보다 협업하거나 AI가 절대 못 하는 것이 많았고, AI의 빅데이터를 활용한다는 점에서는 흥미로웠다'
키울 역량: 공감 및 소통 능력(AI는 감정이 없기 때문에 사람과의 관계에서는 약함), 윤리적 판단력(AI는 못 하는 인간과의 윤리적 기준 필요), 창의적 사고(새로운 가설을 수립하는 데 필요)
지금 시작할 준비: '친구들과의 대화를 통해 소통 능력 키우기 / 창의적인 사고 많이 해 보기'
모둠(사서·역사교수·작곡가·펀드매니저) 공통 결론: 미기재</t>
        </is>
      </c>
      <c r="E10" s="5" t="inlineStr">
        <is>
          <t>AI 분석이 역사학 연구 현장에 맞게 구체적이고, 역량 선택 이유가 논리적으로 연결됨 — 완성도 높음.
5차시 '역사교사'에서 이 차시엔 '역사교수'로 목표가 확장됨.</t>
        </is>
      </c>
      <c r="F10" s="5" t="inlineStr">
        <is>
          <t>미래 명함, 모둠 공통 결론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사학과 / 관심 대학: 서울대
학과 개요: '역사학은 인간의 자기 인식을 목표로 하는 학문', 사학을 전공하려는 학생에게는 정치·경제·사회 등 각 분야에 대한 폭넓은 지식과 뛰어난 어학 실력이 요구됨
적성 연결: '과거의 역사 기록에 흥미가 있다 → 역사 연구와 연결'
고교 관련 과목: 국어, 한국사, 동아시아사, 세계사 / 대학 주요 교과목: 동양현대사, 서양중세사, 서양고대사, 동양고대사, 백제의 신화와 역사
자격증: 한국사능력검정시험(심화 1급 등), 한자능력검정시험 / 진출 분야: 해외 교류를 하는 기업체, 국제기구, 국중박(국립중앙박물관), 중고등학교 / 전망: 56%
지금 노력할 것: '역사에 관심을 갖고 꾸준히 공부, 올바른 역사관과 개방적 자세를 지니기 위해 노력'</t>
        </is>
      </c>
      <c r="E11" s="5" t="inlineStr">
        <is>
          <t>모든 칸을 충실하게 채움. 학과에 필요한 역량(어학·폭넓은 지식)까지 조사함.</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70%+교과 관련 영역 서류종합평가 30%, 최저 X / 종합 1단계 서류종합평가 100%, 2단계 면접 40%+1단계 성적 60%, 최저 X / 논술 학생부 30%(교과 20%·출결 10%)+논술 70%, 최저 O / 정시 수능 80%+학생부평가 20%, 최저 X
반영 교과: 국어·수학·영어·사회·과학 중 / 반영 과목 수: 성취도(5단계)·석차등급(5등급)이 산출되는 상위 10과목(이수학점 미적용) / 반영 방법: 3학년 1학기까지 반영(논술도 동일)
전형별 준비도 별점: 미기재 / 도전 전형·선택 이유: 미기재</t>
        </is>
      </c>
      <c r="E12" s="5" t="inlineStr">
        <is>
          <t>반영 교과·과목 수·반영 방법까지 모두 정확히 채움 — 모집요강 분석이 학급에서 가장 꼼꼼한 편. 본인 준비도 점검은 비어 있음.</t>
        </is>
      </c>
      <c r="F12" s="5" t="inlineStr">
        <is>
          <t>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역사교사 / 희망 학과 국사학과(동양사학과·서양사학과) / 목표 대학·계열 서울대 &amp; 인문계열 → 모두 '그대로 유지'
유지 이유: 미기재
최종 진로 목표: 인문계열 / 역사교수 or 역사교사 / 한국사학 or 동양사학 or 서양사학 / 서울대학교
과목 설계: 국어 주제탐구독서(2학년/일반)·문학과 영상(2학년/진로) / 수학 X / 영어(논문 읽기) 미디어 영어·세계문화와 영어(2학년/융합) / 사회(역사와 다양하게 연결) 동아시아 역사 기행(2학년/진로)·세계사(2학년/일반)·정치(2학년) / 과학 X / 기타(논문 읽기) 중국어(2학년/일반)·중국어 회화(2학년/진로)
수시 관심: 학생부 교과, 학생부 종합 / 정시 관심: 수능
2학기 집중 과제: '내신 성적 올리기, 생기부를 채우기 위한 활동 많이 하기, 수능 준비를 위한 모고 준비'
2학기 다짐: '열심히 하자!!!'</t>
        </is>
      </c>
      <c r="E13" s="5" t="inlineStr">
        <is>
          <t>1-1 '교수·교사 되는 법' → 1-4 사학·철학 → 1-5 역사교사 → 1-6 역사교수 → 1-7 사학과(서울대) → 최종까지 진로가 매우 일관되고, 과목 선택도 역사·어학(논문 읽기) 중심으로 설계함.
수학·과학을 X로 비웠는데, 서울대 인문계열 지원 시 권장 과목(수학 등) 확인 안내가 필요함.
1-3 목표 점수(3과목 100점)와 최종 집중 과제에서 높은 학업 목표가 드러남.</t>
        </is>
      </c>
      <c r="F13" s="5" t="inlineStr">
        <is>
          <t>유지 이유, 수학·과학 과목 설계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첨단융합학부
학업역량 C&gt;B&gt;A — 이유: 대체로 모든 과목이 우상향
진로역량 — 순위를 여러 번 고쳐 판독 어려움 / 이유: '2학년 탐구 능력'(일부 판독 어려움)
공동체역량 B&gt;A&gt;C — 이유: 1·2학년 단체 리더십, 함께 프로젝트를 완성했기 때문
예상 C-B-A → 결과 A-C-B
느낀 점: '재밌고 인상 깊었다' / 배운 점: '탐구 후 발표 활동이 좋은 것 같다'</t>
        </is>
      </c>
      <c r="E14" s="5" t="inlineStr">
        <is>
          <t>활동을 재미있게 받아들였고 '탐구 후 발표' 활동에 관심을 보임.</t>
        </is>
      </c>
      <c r="F14" s="5" t="inlineStr">
        <is>
          <t>진로역량 순위 판독 어려움(원본 확인 필요)</t>
        </is>
      </c>
    </row>
    <row r="15" ht="264"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주제탐구(최시우와 짝)
선택 이유: 평소 역사에 관심이 많았지만, 주제탐구를 통해 진로에 대해 자세히 알아보며 진로의 폭을 넓히고 싶어서
관심 분야: 역사, 한국사, 법
그렇게 생각한 이유: 지금 우리가 사는 사회의 기반이 되는 역사가 민족의 뿌리라는 점이 인상 깊어서
잠정 탐구 주제: '미국의 관세정책이 세계 정세에 미친 영향'(+ 경제력이 강한 나라가 관세를 무기로 삼는가 — 일부 판독 어려움)
주제 선택 이유: 최근 주목되는 이슈이고 세계 경제를 좌지우지하기 때문
8차시 계획: 2·3차시 자료조사 → 4차시 설문지 제작·유포(산출물: 설문지) → 5차시 설문 결과 정리 → 6차시 PPT 제작 → 7차시 보완(산출물: PPT 제출)
다짐: '8차시 동안 협력해 프로젝트를 완료하겠다' / 자가점검 3항목 체크</t>
        </is>
      </c>
      <c r="E15" s="5" t="inlineStr">
        <is>
          <t>관심 분야(역사·한국사·법)와 탐구 주제(미국 관세정책·세계 경제)가 다름 — 짝 최시우(경제·경영 관심)와 주제를 맞춘 것으로 보임. 1학기 역사교사·사학과 목표와 연결되도록 '관세의 역사' 관점을 살리게 하면 좋겠음.
설문지 제작 등 산출물을 포함한 계획표가 구체적임.</t>
        </is>
      </c>
      <c r="F15" s="5" t="inlineStr">
        <is>
          <t>잠정 주제 두 번째 줄 일부 판독 어려움</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최시우(10822)와 2인 1조
핵심 탐구 질문: 미국의 관세정책이 세계 정세에 미친 영향은 무엇인가?
하위 질문 ①: 관세의 내용과 기능은 무엇인가?
하위 질문 ②: 미국의 관세정책은 주요 국가들의 국제관계 및 정세에 어떤 변화를 가져왔는가?
하위 질문 ③: 미국의 관세정책이 한국 경제에 미친 영향은 무엇인가?
활용할 자료원: 한국무역협회 사이트, 관세 관련 논문·책, 설문조사, 한국민족문화대백과사전·두산백과(관세의 역사와 개념)</t>
        </is>
      </c>
      <c r="E16" s="5" t="inlineStr">
        <is>
          <t>개념 → 국제관계 → 한국 경제로 범위를 좁혀가는 구성이 좋음. 자료원에 '관세의 역사'를 넣어 본인의 역사 관심과 연결할 여지가 있음.
하위 질문 ② 앞에 체크 표시가 있음.</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1개 수집
① 『한국민족문화대백과사전』, 『사회·문화의 관세의 기능과 종류』(책): 관세는 국세 중 하나이며 기능은 특정 국내산업 보호와 재정수입 확보. 관세는 대체로 수입세를 의미하고 소비를 억제하며 국제수지 개선 및 수출촉진에 쓰임. 관세의 종류: 할당관세(수량 기준), 슬라이딩관세(가격 기준).
자료 ②~⑤, 나의 생각/메모: 미기재</t>
        </is>
      </c>
      <c r="E17" s="5" t="inlineStr">
        <is>
          <t>관세의 개념·기능을 정리한 기초 자료 1건만 수집함. P-2 주제(미국 관세정책이 세계 정세에 미친 영향)에 직접 해당하는 미국 관세정책·세계 정세 자료는 아직 없음 — 다음 차시에 자료 보완 필요. 짝 최시우와 활동지 내용이 거의 같음.</t>
        </is>
      </c>
      <c r="F17" s="5" t="inlineStr">
        <is>
          <t>자료 ②~⑤, 메모 미기재</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10813 서무영)</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'신발 사이즈 270 / 운동을 좋아한다 / 공부를 잘한다'(가짜: 신발 사이즈 270이다), '볼링을 잘한다 / 롤은 잘한다 / 체력이 좋다'
질문지: 자신 있게 말할 수 있다·필요한 공부를 안다 → '그렇다', 노력하고 있다 → '매우 그렇다'와 '그렇지 않다'에 중복 체크, 상담 경험 → '그렇지 않다', 가족과 이야기 → 미체크
상담 상대: 미체크 / 진로 결정 시 중요: 나의 소질과 적성 / 정보 탐색: 유튜브
노력: 틈틈이 정보 수집, 다양한 진로 체험 / 어려운 점: 진로 관련 정보 탐색이 어려워서
진로수업에 바라는 것: '내가 되고 싶은 꿈의 성공도'
약속: ★연결 — '지금이 미래와 연결되기 가까운 시간이기에 연결이 제일 중요한 것 같다'
깨달은 점·다섯 글자 다짐: 미기재</t>
        </is>
      </c>
      <c r="E5" s="5" t="inlineStr">
        <is>
          <t>'운동을 좋아한다', '체력이 좋다'를 자기소개로 적어 이후 운동선수 진로와 연결됨.
진로 상담 경험이 없다고 응답 — 개별 진로 상담 기회 제공 권장.</t>
        </is>
      </c>
      <c r="F5" s="5" t="inlineStr">
        <is>
          <t>퀴즈 정답, 깨달은 점, 다섯 글자 다짐 미기재
노력 문항 중복 체크(확인 필요)</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1~3번 빈칸 작성: 정시=수능, 교과/학생부종합, 수능 최저, 5등급제·상위 10%, 지필+수행, 수행평가, 192학점, 진로, 1학년 여름방학
4~8번(세특·창체·정시 변화·고교 생활 전략·다짐): 미기재</t>
        </is>
      </c>
      <c r="E6" s="5" t="inlineStr">
        <is>
          <t>앞부분만 작성하고 학생부 종합·세특·창체 부분은 비어 있음.</t>
        </is>
      </c>
      <c r="F6" s="5" t="inlineStr">
        <is>
          <t>4~8번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계산: 1등급 28등, 2등급 94등, 3등급 183등, 4등급 249등, 5등급 277등(모두 정확, 계산식 기재)
100점 동점자 50명 → 전원 2등급 / 대학이 깊게 보는 항목 → 세특 / 세특 확인 → 2학년 진급 후
1등급 28명에 대한 느낀 점: 미기재
목표 점수: 국어 70, 수학 80, 영어 65, 한국사 80, 통합사회 80, 통합과학 70
시험 계획: 수학만 작성(4/9 개념 정리·수학 익힘책 문제, 4/10 문제 찾아서 20개 풀기, 4/12 문제 복습, 4/14 문제 20개 풀기, 4/15 복습, 4/17 문제 15개 풀기, 4/18 복습, 4/19 작년 문제 풀어 보기, 4/20 전체 복습)</t>
        </is>
      </c>
      <c r="E7" s="5" t="inlineStr">
        <is>
          <t>계산 전부 정답. 수학 계획을 문제 수까지 정해 구체적으로 세웠으나 다른 과목 계획은 비어 있음.</t>
        </is>
      </c>
      <c r="F7" s="5" t="inlineStr">
        <is>
          <t>활동지에 학번·이름 미기재(본인 스캔본에 포함되어 본인 것으로 판단)
느낀 점, 수학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①감정회복력(헬렌 켈러 / 스포츠 컨설턴트) ②개방성(파블로 피카소 / 글로벌 홍보 전문가) ③적극성(김만덕 / 창업가)
핵심 강점: 적극성 — 연관 단어: 농구, 도전, 배구, 친구, 운동, 밥 먹기, 공부, 게임 / 강화 방안: '시작하면 끝을 보기'
MIT 희망 전공: 무용·체육, 음악, 초·중등교육 / 추천 전공: 무용·체육(직업운동선수 / 체육학과), 초·중등교육(중·고등학교 교사 / 음악·미술·체육교육과), 음악(연주가 / 음악학과)
가장 선호하는 계열: 예체능계열
불일치 이유: 미기재
선호 직무 유형: 아이디어형 / 직업 가치: 안정성, 경제적 풍족, 사회적 인정</t>
        </is>
      </c>
      <c r="E8" s="5" t="inlineStr">
        <is>
          <t>희망·추천 전공 3개가 모두 일치(체육·음악·교육). 연관 단어가 농구·배구·운동 등 스포츠 중심.</t>
        </is>
      </c>
      <c r="F8" s="5" t="inlineStr">
        <is>
          <t>불일치 이유 미기재</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직업운동선수(특정 종목의 경기에 참가하여 승리나 기록 경신을 목표로 하는 사람 / 신체 운동능력·유연성·균형감각·반응속도·스피드 / 체육학과·스포츠과학과·건강운동관리학과·사회체육학과), 중등학교 교사(중·고등학생 대상으로 전공 교과목을 가르침 / 교과 지식·이해와 공감능력·성실함과 사명감 / 수학교육과·국어교육과 등 사범대계열), 연주가(전문 악기를 연주하여 작곡된 음악을 재현하고 청중에게 전달 / 기술과 음악적 감수성·용기·악보 해석 능력 / 기악과·관현악과·성악과·음악과·작곡과), 창업가(새로운 사업 아이디어를 발휘하여 가치를 창출하고 이를 실행에 옮겨 성장시키는 경영자 / 강력한 열정과 실행력·문제해결 능력·변화 적응 능력 / 경영학과·경제학과·금융학과)
토너먼트: 결승 직업운동선수 vs 연주가 → 최종 '직업운동선수'
선택 이유: '운동을 좋아하고 배구선수는 꿈이어서', '지금 가장 노력하고 있는 것이라서 하고 싶어서' / 연주가 선택 이유: '예전부터 연주하는 걸 좋아해서 배워 봄' / 포기 이유: '지금은 배우고 있지 않아서 흥미가 줄었다'
AI 관련 정도: '직업운동선수는 아이디어형 성향과 경제적 풍족·사회적 인정 가치와는 잘 맞지만 안정성은 낮은 직업이다'</t>
        </is>
      </c>
      <c r="E9" s="5" t="inlineStr">
        <is>
          <t>'배구선수는 꿈'이라고 구체적으로 밝힘. AI 분석으로 직업 가치 1순위(안정성)와 운동선수가 맞지 않는다는 점을 스스로 확인함 — 이후 목표 조정과 연결됨.
직업 정보 표를 성실하게 채움.</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운동선수(모둠 기록 기준)
AI 대체 가능: 경기 데이터 분석, 훈련 기록 관리, 상대 선수 패턴 분석 / 협업: 맞춤형 훈련 계획 제작, 부상 예방 관리, 경기 전략 수립 / 대체 불가: 실제 경기에서의 판단력, 팬들과의 감정적 소통, 강한 정신력과 팀워크 형성
체크: 미체크
새로 알게 된 점: '사실 운동선수는 AI가 해내기 어렵다는 것을 알고 있다. 대체할 수 있는 것은 반했고(일부 판독 어려움), 협업은 더 좋아질 테고, 절대 못 하는 건 인간만이 해낼 수 있기에 딱히 놀라지는 않았다'
키울 역량: 문제 해결력(운동하다 문제가 생기면 바로 해결해야 함), 리더십(이끌어 나가는 사람이 있어야 운동이 된다), 3번 미기재
준비 1가지: 판독 어려움
모둠(중등교사·중등교사·영어교사·중등교사·운동선수) 결론: 'AI가 절대 못 하는 건 공감 능력이다'</t>
        </is>
      </c>
      <c r="E10" s="5" t="inlineStr">
        <is>
          <t>AI 분석을 스포츠 현장에 맞게 구체적으로 작성함. 모둠에서 유일한 운동선수 진로.</t>
        </is>
      </c>
      <c r="F10" s="5" t="inlineStr">
        <is>
          <t>역량 3번, 준비 1가지 판독 어려움/미기재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체육학과 / 관심 대학: 동국대
학과 개요: 체육학과는 신체 활동의 과학적 원리를 탐구하고 스포츠 산업 및 교육 현장에 필요한 지도자와 전문가를 양성하는 곳으로, 크게 신체 움직임을 과학적으로 분석하는 자연과학 영역과 스포츠를 사회·심리·역사적으로 접근하는 인문사회 영역, 경기력 향상을 위한 실기 영역으로 나뉨
적성 연결: '진학 및 전공을 통해 선수 트레이너, 지도자, 스포츠 데이터 분석가 등 전문가로 연결 가능'
고교 관련 과목: 생명과학, 사회문화, 확률과 통계 / 대학 주요 교과목: 운동생리학, 운동역학, 체육원리
자격증: 경기지도자, 생활체육지도사, 스포츠경영관리사 / 진출 분야: 선수단, 스포츠강사 / 전망: 73.2%
지금 노력할 것: '수학 탄탄히, 운동 열심히'</t>
        </is>
      </c>
      <c r="E11" s="5" t="inlineStr">
        <is>
          <t>학과 개요를 영역별로 자세하게 조사함. 선수 외에 트레이너·지도자·데이터 분석가 등 대안 진로도 함께 적은 점이 좋음.</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70%+교과 관련 영역 서류종합평가 30%, 최저 미적용 / 종합 1단계 서류종합평가 100%, 2단계 면접 40%+1단계 성적 60%, 최저 X / 논술 학생부 30%(교과 20%·출결 10%)+논술 70%, 최저 O / 정시 수능 80%+학생부평가 20%, 최저 X
반영 교과: 학생부교과 국어·수학·영어·사회·과학 등 / 반영 과목 수: 학생부교과 상위 10과목, 논술 공통과목을 제외한 상위 10과목
전형별 준비도 별점: 미기재 / 도전 전형·선택 이유: 미기재</t>
        </is>
      </c>
      <c r="E12" s="5" t="inlineStr">
        <is>
          <t>모집요강 표와 반영 교과·과목 수까지 정확히 채움. 본인 준비도 점검은 비어 있음.</t>
        </is>
      </c>
      <c r="F12" s="5" t="inlineStr">
        <is>
          <t>반영 방법,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운동선수 → '그대로 유지' / 희망 학과 체육교육과 → '부분 수정' / 목표 대학·계열 동국대·예체능 → '부분 수정'
바뀐 이유: '운동이 좋고, 성적이 애매해서'
최종 진로 목표: 예체능 / 운동선수 / 체육학과 / 가천대
과목 설계(모든 칸 작성): 국어(팀원들과의 의사소통 능력) 화법과 언어·실용국어·언어와 사회 / 수학(점수 계산·득실차 등) 확률과 통계·실용 수학·수학과제 탐구 / 영어(전문 용어·해외 진출) 영어회화·실용영어·실생활 영어회화 / 사회(운동 문화) 사회문화·사회문제 탐구·세계시민 / 과학(사람 신체·체력 관리 이해) 생명과학Ⅰ·Ⅱ·과학과 생활 / 기타(체력 관리) 스포츠 생활Ⅰ·Ⅱ·스포츠 과학
수시 관심: 학생부 종합, 실기/실적 / 정시 관심: 실기/실적
2학기 집중 과제: 목표 대학 실기 종목의 안정 기록 달성 및 유지(일부 판독 어려움)
2학기 다짐: '1%라도 어제의 나보다 성장하기'</t>
        </is>
      </c>
      <c r="E13" s="5" t="inlineStr">
        <is>
          <t>1-1 '운동을 좋아한다' → 1-4 체육 → 1-5 직업운동선수(배구) → 1-7 체육학과 → 최종 운동선수로 진로는 일관됨.
목표 대학을 동국대에서 가천대로 바꾼 이유로 '성적이 애매해서'라고 직접 적어 성적 부담이 목표 조정에 영향을 준 것으로 보임.
과목 설계를 모든 영역에서 진로와 연결해 채웠고, 실기 기록 관리까지 계획해 현실적인 준비 의지가 보임.
1-5에서 스스로 '안정성은 낮은 직업'이라고 분석한 만큼, 트레이너·지도자 등 대안 경로도 함께 안내하면 좋음.</t>
        </is>
      </c>
      <c r="F13" s="5" t="inlineStr">
        <is>
          <t>2학기 집중 과제 일부 판독 어려움</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교육학과
학업역량 A&gt;C&gt;B — 이유: 단지 성적만 보고 제일 우수한 성적이라서 골랐다
진로역량 A&gt;B&gt;C — 이유: 활동에 관해 적극적인 성격이 돋보임
공동체역량 A&gt;B&gt;C — 이유: 혼자서도 여러 사람에게 공감해 주는 능력이 돋보임
예상 A-B-C → 결과 A-B-C (일치)
느낀 점: '충격' / 배운 점: '더 열심히 해야겠다'</t>
        </is>
      </c>
      <c r="E14" s="5" t="inlineStr">
        <is>
          <t>예상과 결과가 일치. 학업역량을 '성적만 보고' 판단했다고 솔직하게 적음.</t>
        </is>
      </c>
      <c r="F14" s="5" t="inlineStr">
        <is>
          <t>-</t>
        </is>
      </c>
    </row>
    <row r="15" ht="250"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습관형성
선택 이유: 아직 공부에 대한 습관이 완벽하게 만들어지지 않아서
닮고 싶은 사람과 습관: 자습 잘하는 사람 — 혼자서 공부와 복습을 하는 습관
습관이 진로에 중요한 이유: 좋은 습관이 있으면 없는 것보다 낫고, 작은 습관이라도 만들어두는 게 미래를 위해 좋을 것 같다
개선하고 싶은 현재 습관: 운동은 하려고 하면 바로 하는데 공부는 바로 안 하는 것처럼, 좋아하는 것과 싫어하는 것의 실천 차이가 심한 습관
8차시 계획: 2차시 습관 만들기 → 3차시 습관으로 만들 목표 만들기 → 4차시 습관 실천하기 → 5차시 습관 적용하기(판독 추정) → 6차시 습관 바꾸어보기(판독 추정) → 7차시 목표 도달 확인하기
다짐: '포기하지 않겠습니다' / 자가점검 3항목 체크</t>
        </is>
      </c>
      <c r="E15" s="5" t="inlineStr">
        <is>
          <t>'좋아하는 운동은 바로 하는데 공부는 미룬다'고 자신의 패턴을 솔직하게 진단함. 1학기 최종에서 '성적이 애매해서' 진로를 수정했다고 적은 것과 이어지는 학습 습관 고민으로 보임.</t>
        </is>
      </c>
      <c r="F15" s="5" t="inlineStr">
        <is>
          <t>계획표 5·6차시 판독 추정</t>
        </is>
      </c>
    </row>
    <row r="16" ht="278" customHeight="1">
      <c r="A16" s="4" t="inlineStr">
        <is>
          <t>P-2</t>
        </is>
      </c>
      <c r="B16" s="5" t="inlineStr">
        <is>
          <t>진로 프로젝트 2차시(습관형성): 나를 돌아보고, 목표 세우기</t>
        </is>
      </c>
      <c r="C16" s="5" t="inlineStr">
        <is>
          <t>최근 목표·계획 돌아보기 → 목표 달성·실행 정도 자기평가 → 장애물과 개선방안 → SMART 기법으로 습관 목표 구체화 → 실천 인증 방법 → 모둠 의견 반영 최종 습관 목표</t>
        </is>
      </c>
      <c r="D16" s="5" t="inlineStr">
        <is>
          <t>탐구 형태: 이건민(10817)과 함께
최근 목표·계획: 영어 점수 올리기 / 하루에 단어 10개씩 외우기
자기평가: 목표 달성 '만족', 계획 실행 '부족' — 이유: 영어를 예전부터 잘하지 못해 작은 시작으로 작은 목표부터 달성하려고
장애물·개선방안: 미기재
SMART 습관 목표: 하루에 단어 외우는 습관 만들기
- S: 학교가 끝나고 할 일을 다 하고 자기 전에 영어단어 10개 외우기
- M: 외운 단어를 기록하고 다 외우면 테스트하기
- A: 실력을 고려해 하루에 못해도 10개 이상 외운다
- R: 단어 암기로 영어 점수 올리기
- T: 기말 전까지 매일 실천
인증 방법: 짝(동료)에게 매일 확인받기 — 사진을 찍어 친구에게 보내 확인
최종 습관 목표: '꾸준히 해서 점수 올리기'</t>
        </is>
      </c>
      <c r="E16" s="5" t="inlineStr">
        <is>
          <t>SMART 5개 항목을 모두 채웠고 목표가 현실적(하루 10개)임. 1차시에 말한 '공부를 미루는 습관'을 영어 단어 암기로 구체화함.
짝 이건민과 서로 사진을 보내 확인하는 상호 인증 구조.</t>
        </is>
      </c>
      <c r="F16" s="5" t="inlineStr">
        <is>
          <t>장애물(어려움)·개선방안 표 미기재</t>
        </is>
      </c>
    </row>
    <row r="17" ht="210" customHeight="1">
      <c r="A17" s="4" t="inlineStr">
        <is>
          <t>P-3</t>
        </is>
      </c>
      <c r="B17" s="5" t="inlineStr">
        <is>
          <t>진로 프로젝트 3차시(습관형성): 습관 실천 — 1주차 습관 기록표</t>
        </is>
      </c>
      <c r="C17" s="5" t="inlineStr">
        <is>
          <t>1주차 습관 기록표: 이번 주 목표·확인(인증) 방법 정하기, 요일별 실천 내용·실천/인증 체크·오늘의 한 줄(동료 응원), 실천 일수와 한 주 소감 작성</t>
        </is>
      </c>
      <c r="D17" s="5" t="inlineStr">
        <is>
          <t>[습관형성] 1주차 습관 기록표
· 이번 주 목표: 영어단어를 하루에 10개 이상씩 외우기 / 확인(인증) 방법: 친구한테 사진 찍어서 메시지 보내기
· 월·화: 영단어 10개 외움 / 수: 클래스카드에서 50개 / 목: 30개 / 금: 20개 / 토: 10개 → 6일 모두 실천 ○, 일요일은 '영단어 외우다가 말았다'(실천 ×). 인증 칸은 7일 모두 체크.
· 오늘의 한 줄: '쉽다'(월) → '쉽다'(화) → '재밌다'(수) → '지겹다'(목) → '힘들다'(금) → '하기 싫다'(토) → '1개라도 어제보다 나아지기'(일, 판독 추정)
· 이번 주 실천 일수: 6일 / 7일
· 느낀 점: '할 만은 하다.'</t>
        </is>
      </c>
      <c r="E17" s="5" t="inlineStr">
        <is>
          <t>목표(하루 10개)보다 수요일에 50개로 크게 늘렸다가 30→20→10개로 줄어듦. 한 줄 소감이 '쉽다·재밌다'에서 '지겹다·힘들다·하기 싫다'로 바뀌는 흐름이 보이나 6일을 끝까지 실천함. 일요일은 미실천인데 인증 칸에는 체크가 있어 확인 필요. 짝 이건민과 서로 인증하기로 했던 P-2 계획과 달리 이번에는 '친구에게 사진 전송'으로 적음.</t>
        </is>
      </c>
      <c r="F17" s="5" t="inlineStr">
        <is>
          <t>일요일 실천 ×인데 인증 ✓ — 확인 필요
요일 칸 옆에 펜 낙서 있음</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10814 송지우)</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1학기 스캔본(14쪽)에는 1-3, 1-4 활동지가 포함되어 있지 않음.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'A형이다 / 체육을 잘한다(가짜로 체크) / 꿈이 있다'
질문지: 자신 있게 말할 수 있다 → '매우 그렇다', 노력하고 있다 → '매우 그렇지 않다', 가족과 이야기·필요한 공부를 안다·상담 경험 → '그렇지 않다'
상담 상대: 기타('없음') / 진로 결정 시 중요: 학업 성적 / 정보 탐색: 인터넷
노력(기타): '공부' / 어려운 점(기타): '공부가 어려움'
진로수업에 바라는 것: '의사가 되고 싶다'
약속: ★적극 — '수업을 제대로 들어야 한다고 생각해서'
깨달은 점: '진로에 대한 사이트는 많다' / 다섯 글자: '열심히 공부♡'</t>
        </is>
      </c>
      <c r="E5" s="5" t="inlineStr">
        <is>
          <t>입학 초부터 '의사가 되고 싶다'고 밝혔고 진로를 자신 있게 말할 수 있다고 답했지만, 꿈을 위한 노력은 '매우 그렇지 않다', 어려운 점은 '공부가 어려움'이라고 적음.
진로 상담 상대가 '없음' — 개별 상담 기회 제공 권장.</t>
        </is>
      </c>
      <c r="F5" s="5" t="inlineStr">
        <is>
          <t>퀴즈 정답 미기재</t>
        </is>
      </c>
    </row>
    <row r="6" ht="60"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활동지에 학번·이름 미기재, 2쪽 영상 빈칸 채우기(1~8번) 전부 미기재</t>
        </is>
      </c>
      <c r="E6" s="5" t="inlineStr">
        <is>
          <t>활동지를 작성하지 않음 — 학생부·입시 기본 개념 확인 필요.</t>
        </is>
      </c>
      <c r="F6" s="5" t="inlineStr">
        <is>
          <t>전 항목 미기재(학번·이름도 없으나 본인 스캔본에 포함되어 본인 것으로 판단)</t>
        </is>
      </c>
    </row>
    <row r="7" ht="60"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이번 스캔본에 이 차시 활동지가 포함되어 있지 않음</t>
        </is>
      </c>
      <c r="E7" s="5" t="inlineStr">
        <is>
          <t>미제출 또는 스캔 누락 여부 확인 필요.</t>
        </is>
      </c>
      <c r="F7" s="5" t="inlineStr">
        <is>
          <t>활동지 없음(원본 확인 필요)</t>
        </is>
      </c>
    </row>
    <row r="8" ht="60"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이번 스캔본에 이 차시 활동지가 포함되어 있지 않음</t>
        </is>
      </c>
      <c r="E8" s="5" t="inlineStr">
        <is>
          <t>미제출 또는 스캔 누락 여부 확인 필요.</t>
        </is>
      </c>
      <c r="F8" s="5" t="inlineStr">
        <is>
          <t>활동지 없음(원본 확인 필요)</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의사(사람의 질병이나 상처, 몸의 손상 치료 / 의사면허·전문의 면허 / 의예과·의학과), 약사(국민의 건강증진을 위해 일하는 약에 대한 전문가 / 약사면허·배려심·의사소통 능력 / 약학과·약학부), 지질학연구원(국토개발의 기초 제공 / 수리·논리력 / 지질학과·자원환경공학과), 한약사(한의사의 처방에 따라 한약을 조제·개발·저장·보관 / 협업능력·사명감·봉사정신·정밀성·시각 식별 능력 / 한약학과)
토너먼트: 결승 의사 vs 약사 → 최종 '의사'
선택 이유: '제일 하고 싶은 직업' / 약사 선택 이유: '두 번째로 하고 싶은 직업이기 때문에' / 포기 이유: '두 번째로 하고 싶은 거여서'
선호 직무유형·직업가치 확인: 미기재</t>
        </is>
      </c>
      <c r="E9" s="5" t="inlineStr">
        <is>
          <t>의료·약학 계열 직업을 중심으로 탐색하고 의사를 최고 관심 직업으로 선택함(1-1 '의사가 되고 싶다'와 일관).
1-4가 없어 직무유형·가치관과의 비교는 확인할 수 없음.</t>
        </is>
      </c>
      <c r="F9" s="5" t="inlineStr">
        <is>
          <t>직무유형·가치관 점검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의사
AI 대체 가능: 정형화된 영상 및 판독 자료 분석, 처방전 작성·의료기록 입력, 단순 반복적인 모니터링 및 알림 / 협업: 맞춤형 치료 계획 수립, AI 기반 수술 보조, 희귀 질환 및 조기 진단 / 대체 불가: 신뢰 관계 및 감정적 지지, 의학적·윤리적 최종 의사결정과 책임, 다학제 팀·의료진 리더십 및 의사소통
체크: 'AI가 예상보다 더 많이 대체할 수 있었다', '내 생각이 AI 답과 거의 같았다'
놀란 점: 'AI는 생각보다 대단하다'
키울 역량: 문제 해결력(AI보다 뛰어나야 함), 윤리적 판단력(AI가 하기 힘든 걸 잘해야 함), 창의적 사고(AI보다 뛰어나야 함)
지금 시작할 준비: '창의적 사고를 키우기'
미래 명함: 5차시 '의사 / 의사짱' → AI 시대 '♡의사♡' — 'AI가 발전하는 동안, 나는 성장한다'
모둠(간호사·국제회의전문가·패션코디네이터·의사·전문의사) 결론: 'AI가 절대 못 하는 건 사람 간의 유연한 대처이다'</t>
        </is>
      </c>
      <c r="E10" s="5" t="inlineStr">
        <is>
          <t>AI 분석 표를 의료 현장에 맞게 구체적으로 작성하고 미래 명함까지 완성함.
역량 선택 이유는 모두 'AI보다 뛰어나야 함' 수준으로 짧음.</t>
        </is>
      </c>
      <c r="F10" s="5" t="inlineStr">
        <is>
          <t>-</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의예과 / 관심 대학: 서울대학교
학과 개요: 기초과학 및 의과학, 의예과는 본격적인 의학 공부를 시작하기 전 기초를 다지는 2년 동안의 과정으로 세포생물학이나 유기화학 같은 기초과목을 깊이 있게 배움
적성 연결: '어떤 현상을 보면 이건 왜 이럴까 하고 끝까지 원인을 찾아냄 → 직접 실험하고 새로운 의학 지식을 발견'
고교 관련 과목: 생명과학Ⅰ·Ⅱ, 화학Ⅰ·Ⅱ, 미적분(확통·수학), 생활과 윤리, 윤리와 사상
대학 주요 교과목: 의학개론, 일반생물, 해부학, 의학윤리학
자격증: 의사면허, 전문의 자격증 / 진출 분야: 병원 / 전망: 94%
지금 노력할 것: '열심히 공부하기'</t>
        </is>
      </c>
      <c r="E11" s="5" t="inlineStr">
        <is>
          <t>학과 개요와 관련 과목을 충실하게 조사했고, '원인을 끝까지 찾는' 성향을 의학 연구와 연결함.</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470·894·291 / 교과 학생부교과 70%+서류 30%, 최저 X / 종합 1단계 서류종합 100%, 2단계 면접 40%+1단계 성적 60%, 최저 X / 논술 논술 70%+교과 20%+출결 10%, 최저 O / 정시 칸 미기재
반영 교과·과목 수·방법: 미기재
전형별 준비도: 학생부교과 별 2개, 학생부종합·논술·실기/실적·정시 각 별 1개(판독 기준)
도전 전형: 수시 '논술', 정시 '수능'에 동그라미 / 대학·모집단위·선택 이유 미기재</t>
        </is>
      </c>
      <c r="E12" s="5" t="inlineStr">
        <is>
          <t>본인 준비도를 전 전형에서 1~2개로 낮게 평가함 — 1-1의 '공부가 어려움'과 이어져 학습 자신감이 낮은 모습(상담 시 참고).
도전 전형으로 논술·수능을 표시했는데, 최종 활동지에선 학생부종합을 관심 전형으로 체크함.</t>
        </is>
      </c>
      <c r="F12" s="5" t="inlineStr">
        <is>
          <t>정시 칸, 반영 교과, 도전 대학·선택 이유 미기재
별점 개수 판독 추정</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의사 / 희망 학과 의예과 / 목표 계열 과학·생명 → 모두 '그대로 유지'
유지 이유: '예전부터 하고 싶어서 유지했다'
최종 진로 목표: 과학 / 의사 / 의예과 / 서울대
과목 설계: 국어(이해) 주제탐구독서·매체의사소통·문학과 영상 / 수학(학교가려면 필요해서) 기하·인공지능 수학·미적분Ⅱ·경제수학 / 영어(전공활용도) 미디어 영어·관광영어·직무영어 / 사회(생활에 필요) 법과 사회·경제 / 과학(계열탐구과목) 물리학·화학·생명과학·세포와 물질대사·생물의 유전·화학 반응의 세계 등(일부 판독 어려움) / 기타 일본어·일본어 회화(세계사·여행지리)
수시 관심: 학생부 종합 / 정시 관심: 수능
2학기 집중 과제: '과학과 수학 공부 하기!!' / 2학기 다짐: '공부를 열심히 해야겠다'</t>
        </is>
      </c>
      <c r="E13" s="5" t="inlineStr">
        <is>
          <t>1-1부터 최종까지 의사·의예과·서울대로 목표가 매우 일관되고, 과학 과목을 의예과 권장 과목 중심으로 폭넓게 선택함.
반면 1-2 전부 미기재, 1-3·1-4 활동지 없음, 1-8 준비도 별점이 낮고 2-2 이유 칸도 비어 있어, 높은 목표와 학습 준비 사이의 간극이 큼 — 학습 전략 상담 권장.</t>
        </is>
      </c>
      <c r="F13" s="5" t="inlineStr">
        <is>
          <t>과학·기타 과목명 일부 판독 어려움</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조선해양공학과
학업역량 B&gt;C&gt;A / 공동체역량 A&gt;B&gt;C — 이유 미기재
진로역량: 미기재
예상 B-C-A → 결과 B-C-A (일치)
느낀 점: 성적만 보는 게 아니라 태도, 공동체 의식, 지적 호기심, 탐구활동 등도 중요하다는 것을 알게 되었다
배운 점: 모든 면에서 열심히 노력해야겠다고 생각했다</t>
        </is>
      </c>
      <c r="E14" s="5" t="inlineStr">
        <is>
          <t>이유 칸은 비었지만, 소감에서 학종 평가 요소(태도·공동체·지적 호기심·탐구)를 정확히 짚음.</t>
        </is>
      </c>
      <c r="F14" s="5" t="inlineStr">
        <is>
          <t>역량별 이유, 진로역량 순위 미기재</t>
        </is>
      </c>
    </row>
    <row r="15" ht="222"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진로독서(습관형성 체크를 지우고 변경)
선택 이유: 진로 방향이 의학 쪽이긴 하지만 어떤 직업을 해야 할지 모르겠어서
[A 주제탐구 칸 — 작성 후 사선으로 지움] 관심: 의사, 생명과학, 생명윤리 / 계기: 생명과학에 관심이 생겨 SNS에서 자주 찾아봄 / 잠정 주제: 생명과학 산업의 성장 / 이유: 과학 발전으로 생명과학이 삶에 어떤 영향을 미치는지, 관련 직업에 어떤 길이 있는지 궁금
[B 진로독서] 독서 이유: '책을 통해 직업을 결정하고 싶었다' / 도서 선정 기준: 어려운 내용이 아닌 책, 의학과 관련된 책 / 후보 분야: 의학
8차시 계획: 미기재
다짐: '포기하지 말고 열심히' / 자가점검 3항목 체크</t>
        </is>
      </c>
      <c r="E15" s="5" t="inlineStr">
        <is>
          <t>트랙을 여러 번 고민한 흔적(습관형성 → 진로독서, 주제탐구 칸 작성 후 삭제)이 있음.
1학기 의사·의예과 목표를 유지하면서도 '의학 안에서 어떤 직업을 할지 모르겠다'고 적어, 의학 계열 내 직업 탐색이 필요한 단계로 보임.</t>
        </is>
      </c>
      <c r="F15" s="5" t="inlineStr">
        <is>
          <t>8차시 계획표 미기재</t>
        </is>
      </c>
    </row>
    <row r="16" ht="180" customHeight="1">
      <c r="A16" s="4" t="inlineStr">
        <is>
          <t>P-2</t>
        </is>
      </c>
      <c r="B16" s="5" t="inlineStr">
        <is>
          <t>진로 프로젝트 2차시(진로독서): 도서 선정</t>
        </is>
      </c>
      <c r="C16" s="5" t="inlineStr">
        <is>
          <t>진로독서의 필요성 생각 → 도서 선정 기준(관심 분야·난이도·최신성 등) 정리 → 후보 도서 3권 비교 → 최종 1권 선정과 이유</t>
        </is>
      </c>
      <c r="D16" s="5" t="inlineStr">
        <is>
          <t>탐구 형태: 개인
진로독서 이유: 책을 통해 직업에 대해 더 자세히 알고 적성에 맞는지 확인할 수 있다
도서 선정 기준: ①내가 관심 있는 분야 ②너무 어렵지 않은 내용 ③재밌는 책
후보 도서: 『이토록 재밌는 의학 이야기』, 『의학, 인문으로 치유하다』, 『미래를 바꾸는 의생명 공학 이야기』
최종 선정 도서: 『미래를 바꾸는 의생명 공학 이야기』
선정 이유: 의생명과 공학이 함께 있어서 더 흥미가 생겼다</t>
        </is>
      </c>
      <c r="E16" s="5" t="inlineStr">
        <is>
          <t>후보 3권을 모두 의학 분야로 골라 1차시 기준과 일관됨. 최종 도서가 의학+공학 융합 분야라 1차시에 관심 보였던 생명과학 산업과도 이어짐.</t>
        </is>
      </c>
      <c r="F16" s="5" t="inlineStr">
        <is>
          <t>-</t>
        </is>
      </c>
    </row>
    <row r="17" ht="210" customHeight="1">
      <c r="A17" s="4" t="inlineStr">
        <is>
          <t>P-3</t>
        </is>
      </c>
      <c r="B17" s="5" t="inlineStr">
        <is>
          <t>진로 프로젝트 3차시(진로독서): 독서 전 활동 및 독서 활동 시작</t>
        </is>
      </c>
      <c r="C17" s="5" t="inlineStr">
        <is>
          <t>제목·표지를 보고 내용 예상하기 → 목차 중 가장 궁금한 부분 정하기 → 이 책을 통해 알고 싶은 것 미리 적기</t>
        </is>
      </c>
      <c r="D17" s="5" t="inlineStr">
        <is>
          <t>[진로독서] 『미래를 바꾸는 의생명 공학 이야기』
· 제목/표지를 보고 예상한 내용: '미래를 바꿀 수 있는 의생명 공학 이야기가 담겨 있을 것 같다.'
· 목차 중 가장 궁금한 부분: 2장 '줄기세포와 오가노이드' 중 '나이와 함께 줄어드는 줄기세포의 힘'에 대한 자세한 내용과 그 원리까지 알고 싶다.
· 이 책을 통해 알고 싶은 것: 한 권에 12가지 핵심 주제를 쉽게 담고 있어 의생명 공학 이야기를 알고 싶고, 의대·공대 전공을 준비하는 학생에게 개념-응용-원리를 한 번에 보여 준다고 하니 이 세 가지를 쉽게 알고 싶다.</t>
        </is>
      </c>
      <c r="E17" s="5" t="inlineStr">
        <is>
          <t>P-2에서 정한 도서로 3칸을 모두 구체적으로 채움. 목차에서 콕 집은 부분(줄기세포)까지 적어 읽기 계획이 분명함. '알고 싶은 것'은 책 소개 문구를 참고한 듯한 표현이 많아 본인 표현으로 다시 정리하면 좋겠음. 의생명·의공학 진로와 일관됨.</t>
        </is>
      </c>
      <c r="F17" s="5" t="inlineStr">
        <is>
          <t>-</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10815 신주원)</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 선생님께: '안녕하세요'
자기소개 진진가: 성격 '파이팅 넘친다(가짜) / MBTI-INTJ / 소심하다', 취미 '독서 / 운동(가짜) / 계획 짜기', 특기 '계획하기 / 운동(가짜) / 유튜브 보기'
질문지: 자신 있게 말할 수 있다·노력하고 있다·필요한 공부를 안다 → '보통', 가족과 이야기 → '그렇지 않다', 상담 경험 → '그렇다'
상담 상대: 교사 / 진로 결정 시 중요: 나의 소질과 적성, 학업 성적 / 정보 탐색: 인터넷, 관련 서적 독서
노력: 흥미와 적성을 찾기 위한 비교·활동, 진로 상담 / 어려운 점: 진로 체험 기회 부족, 생각하는 진로가 너무 많아서
진로수업에 바라는 것: '변호사, 소설작가, IT 회사 직원, 대기업 직원(삼성, 네이버 등)'
약속: ★집중(이유 미기재)
깨달은 점: 'X' / 다섯 글자: '공부좀하자'</t>
        </is>
      </c>
      <c r="E5" s="5" t="inlineStr">
        <is>
          <t>독서·계획 짜기가 취미·특기로 드러나고, 관심 직업이 변호사·소설작가·IT·대기업 등 다양함('진로가 너무 많아 선택이 어렵다') — 이후 사서·국어국문학과로 좁혀짐.</t>
        </is>
      </c>
      <c r="F5" s="5" t="inlineStr">
        <is>
          <t>약속 이유, 깨달은 점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작성: 정시=수능, 학생부교과/학생부종합, 수능 최저학력, 5등급제·상위 10%, 지필+수행, 수행평가, 192학점, 진로, 1학년 여름방학, 과정, 세부능력 및 특기사항, 결석 없이 적극적으로(판독 추정), 자율·동아리·행동특성 및 종합의견, 공통·통합사회/통합과학, 생기부, 역전, 주도성
활동 후 다짐: '공부하자…'</t>
        </is>
      </c>
      <c r="E6" s="5" t="inlineStr">
        <is>
          <t>영상 핵심 내용을 빠짐없이 기록함.</t>
        </is>
      </c>
      <c r="F6" s="5" t="inlineStr">
        <is>
          <t>-</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1등급 28등, 2등급 94등, 3등급 183등, 4등급 249등(최종값 정확, 계산식은 일부만 기재)
100점 동점자 50명 → 2등급 / 대학이 깊게 보는 항목 → 세특 / 세특 확인 → 2학년 진급 후
1등급 28명에 대한 느낀 점: '…'
목표 점수: 국어 90, 수학 80, 영어 90, 한국사 90, 통합사회 80, 통합과학 80
시험 계획: 6과목 모두 작성 — 국어(4/9~4/13 독서, 4/18 복습, 4/19 교과서 복습), 수학(4/13 개념 복습, 4/14~4/20 문제집 풀기), 영어(4/9~4/13 경단어 외우기, 영어 지문 외우기·문장 해석 연습·단어 외우기, 교과서 복습), 한국사·통합사회(4/14 교과서·시험 범위까지 복습, 4/20 복습), 통합과학(4/14~4/17 복습)</t>
        </is>
      </c>
      <c r="E7" s="5" t="inlineStr">
        <is>
          <t>계산 정답. 6과목 계획을 모두 날짜별로 세움 — 1-1에서 '계획 짜기'를 취미·특기로 적은 점과 일치.
느낀 점에 '…'만 적음.</t>
        </is>
      </c>
      <c r="F7" s="5" t="inlineStr">
        <is>
          <t>느낀 점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①도덕성(임마누엘 칸트 / 의약품 인허가 전문가·초중고 교사·판사) ②계획성(벤자민 프랭클린 / 데이터 아키텍처 전문가·행정가·회계사) ③개방성(파블로 피카소 / 글로벌 홍보 전문가·다문화 언어지도사·융합형 디자이너)
핵심 강점: 도덕성 — 연관 단어: 임마누엘 칸트, 규칙, 규정, 절차, 윤리, 관리, 양심, 사회 / 강화 방안: '역지사지', '공감능력 키우기'
MIT 희망 전공: 국어국문학, 언론·홍보, 영상·공연 / 추천 전공: 국어국문학(출판물기획자·영화 시나리오작가·소설가 / 국어국문학과), 영상·공연(영화감독·탤런트·방송연출가 / 영화과), 언론·홍보(방송기자·아나운서·광고홍보 마케팅 전문가 / 미디어학과)
가장 선호하는 계열: 인문학
불일치 이유: '없음'(순서만 다름)
선호 직무 유형: 아이디어형 / 직업 가치: 창의성, 안정성, 경제적 풍족</t>
        </is>
      </c>
      <c r="E8" s="5" t="inlineStr">
        <is>
          <t>희망·추천 전공 3개가 모두 일치(국어국문학 1순위 동일) — 자기 이해도가 높음.</t>
        </is>
      </c>
      <c r="F8" s="5" t="inlineStr">
        <is>
          <t>-</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사서(도서관리 / 사회성 및 언어능력 / 문헌정보학과 외 5개), 영화 시나리오 작가(시나리오 창작 / 창의성 / 국어국문학과 외 8개), 출판물 기획자(출판 기획 및 담당 / 경영·마케팅·광고 / 국어국문학과 외 다수), 시인(문학 창작 / 언어 감각 / 국어국문학과 외 2개)
토너먼트: 결승 사서 vs 출판물 기획자 → 최종 '사서'
선택 이유: '비교적 안정적이어서', '출판물 기획자보다 경쟁률이 낮아 보이고 안정적이고 수입도 괜찮아 보여서' / 출판물 기획자 선택 이유: '비교적 수입이 많아서' / 포기 이유: '마케팅에 자신이 없어서'
직무유형·가치관 점검: '창의성이 떨어지지만 안정성과 경제적 풍족이 나아서 나쁘지 않다'</t>
        </is>
      </c>
      <c r="E9" s="5" t="inlineStr">
        <is>
          <t>직업 가치 1순위(창의성)보다 2·3순위(안정성·경제적 풍족)를 우선해 사서를 골랐다고 스스로 분석함 — 가치관 간 선택 과정을 정확히 이해함.</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사서
AI 대체 가능: 도서 분류·정리, 자료 검색 응대, 대출 반납 관리 / 협업: 맞춤 추천 및 큐레이션, 디지털 자료·아카이브 관리, 정보 리터러시 교육 / 대체 불가: 이용자 상담·감정 이해, 프로그램 운영, 추천
체크: '내 생각이 AI 답과 거의 같았다'
새로 알게 된 점: '전망이 조금 심각하다고 생각한다'
키울 역량: AI 리터러시(AI 진위 판별), 공감능력(고충상담 및 책 추천 활용), 기획능력(프로그램 기획)
지금 시작할 준비: '상담 연습'
모둠(사서·역사학자·작곡가·펀드매니저) 결론: 'AI가 절대 못 하는 건 공감(구체적인 심리 파악과 판단)이다'</t>
        </is>
      </c>
      <c r="E10" s="5" t="inlineStr">
        <is>
          <t>AI 분석 후 사서 직업의 전망을 '심각하다'고 판단함 — 1-7·최종에서도 전망에 대한 걱정이 이어짐.</t>
        </is>
      </c>
      <c r="F10" s="5" t="inlineStr">
        <is>
          <t>미래 명함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국어국문학과 / 관심 대학: 인천대학교
학과 개요: '언어와 문학을 학습하고 연구'
적성 연결: '독서와 문화생활을 즐김'
고교 관련 과목: 국어 / 대학 주요 교과목: 한국어 문법론, 한국 현대 소설론, 한국한문학론
자격증: 독서지도사 자격증, 중등학교 정교사 자격증 / 진출 분야: 독서지도사
전망: '취업률이 반토막 났다. 난 X됐다. 사갈…'
지금 노력할 것: '꾸준히 독서하고, 책의 의미를 생각하며 전하고자 하는 언어를 탐구하기'</t>
        </is>
      </c>
      <c r="E11" s="5" t="inlineStr">
        <is>
          <t>학과 전망 칸에 취업률에 대한 강한 불안을 거친 표현으로 적음 — 1-6의 '전망이 심각하다'와 이어지는 걱정으로, 상담 시 진로 전망에 대한 정확한 정보와 격려가 필요함.
5차시 사서와 달리 국어국문학과를 탐색(문헌정보학과는 탐색하지 않음).</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70%+서류종합평가 30%, 최저 X / 종합 서류종합평가 100% → 면접 40%+1단계 성적 60%, 최저 X / 논술 학생부(교과 20%·출결 10%)+논술 70%, 최저 O / 정시 수능 80%+학생부평가 20%, 최저 X
반영 교과·과목 수·방법: 미기재
전형별 준비도 별점: 미기재 / 도전 전형·선택 이유: 미기재</t>
        </is>
      </c>
      <c r="E12" s="5" t="inlineStr">
        <is>
          <t>모집요강 표는 정확히 채웠으나 반영 교과와 본인 준비도 점검은 비어 있음.</t>
        </is>
      </c>
      <c r="F12" s="5" t="inlineStr">
        <is>
          <t>반영 교과,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사서 / 희망 학과 국어국문학과 / 목표 대학·계열 인문계·중앙대 → 모두 '그대로 유지'
유지 이유: '사서는 전망이 좋지 못하지만 그래도 하고 싶어서'
최종 진로 목표: 인문계열 / 사서 / 국어국문학과 / 중앙대
과목 설계: 국어(도서·독서) 주제탐구독서(2학년/일반)·문학과 영상 / 수학(통계) 인공지능 수학(2학년/일반)·기하 / 영어(언어) 미디어 영어(2/일)·세계 문화와 영어 / 사회(직업 전망↑) 법과 사회(2/일)·정치 / 과학(관련 도서) 생명과학(2/일)·세포와 물질대사 / 기타(교양 언어) 현대사회와 윤리(2/일)·중국어
수시 관심: 학생부 종합 / 정시 관심: 수능
2학기 집중 과제: '공부' / 2학기 다짐: '공부하자~. 난 성적 조졌어~'</t>
        </is>
      </c>
      <c r="E13" s="5" t="inlineStr">
        <is>
          <t>1-4 국어국문학 → 1-5 사서 → 1-7 국어국문학과 → 최종까지 인문·도서 분야로 일관됨. '전망이 좋지 못하지만 그래도 하고 싶다'는 표현에서 진로에 대한 애정이 드러남.
사서가 목표라면 문헌정보학과도 함께 탐색하도록 안내하면 좋음(현재는 국어국문학과만 탐색).
2학기 다짐 '난 성적 조졌어~'와 1-7 전망 칸의 표현에서 성적·전망에 대한 자조적 불안이 보임 — 상담 시 참고.
2-2에서는 '인생은 성적순이 아니다'라는 소감을 남김.</t>
        </is>
      </c>
      <c r="F13" s="5" t="inlineStr">
        <is>
          <t>-</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첨단융합학부
학업역량 C&gt;B&gt;A — 이유: 과목 선택과 성적을 보고 분류, 한 과목이 조금 모자라도 다른 점수가 좋으면 좋게 봄
진로역량 B&gt;A&gt;C — 이유: 연관성(인과성)이 생기부 내용에 있는지 살핌
공동체역량 C&gt;A&gt;B — 이유: 생기부에 나오는 멘토링 관련 부분을 확인함
예상 C-B-A → 결과 A-C-B
느낀 점: '의외라서 놀랐다' / 배운 점: '인생은 성적순이 아니다'</t>
        </is>
      </c>
      <c r="E14" s="5" t="inlineStr">
        <is>
          <t>예상과 결과가 크게 달라 놀랐고, '성적만이 전부가 아니다'라는 결론을 도출함.</t>
        </is>
      </c>
      <c r="F14" s="5" t="inlineStr">
        <is>
          <t>-</t>
        </is>
      </c>
    </row>
    <row r="15" ht="20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진로독서(장승빈과 짝)
선택 이유: 아직 명확한 진로가 없어서 적성을 찾으며 진로를 정하려고
진로독서 이유: 책을 통해 진로에 맞는 독서로 진로를 정하려고
도서 선정 기준: ①어렵지 않은 책 ②관심 분야 ③전문성
읽고 싶은 후보 도서: 미기재
8차시 계획: 2·3차시 독서(산출물: 지식) → 4차시 감상평 → 5차시 독서 정리·발표 준비(발표자료 초안) → 6차시 발표 준비(발표자료 1차 수정) → 7차시 발표 준비(발표자료 최종)
다짐: '열심히 적성·진로를 정하자' / 자가점검 3항목 체크</t>
        </is>
      </c>
      <c r="E15" s="5" t="inlineStr">
        <is>
          <t>1학기 최종에서 사서·국어국문학과를 '전망이 좋지 못하지만 그래도 하고 싶다'며 유지했는데, 이번에는 '아직 명확한 진로가 없다'고 적음 — 진로 확신이 흔들리는 신호일 수 있어 상담 시 확인해 볼 만함.
발표자료를 초안 → 1차 수정 → 최종으로 단계화한 계획이 구체적임.</t>
        </is>
      </c>
      <c r="F15" s="5" t="inlineStr">
        <is>
          <t>후보 도서 미기재</t>
        </is>
      </c>
    </row>
    <row r="16" ht="152" customHeight="1">
      <c r="A16" s="4" t="inlineStr">
        <is>
          <t>P-2</t>
        </is>
      </c>
      <c r="B16" s="5" t="inlineStr">
        <is>
          <t>진로 프로젝트 2차시(진로독서): 도서 선정</t>
        </is>
      </c>
      <c r="C16" s="5" t="inlineStr">
        <is>
          <t>진로독서의 필요성 생각 → 도서 선정 기준(관심 분야·난이도·최신성 등) 정리 → 후보 도서 3권 비교 → 최종 1권 선정과 이유</t>
        </is>
      </c>
      <c r="D16" s="5" t="inlineStr">
        <is>
          <t>탐구 형태: 장승빈(10820)과 함께
진로독서 이유: 진로를 명확하게 좁히려면 다양한 분야를 융합적으로 알아보는 게 좋을 것 같아서
도서 선정 기준: 쉬워야 한다, 진로와 연관이 되어야 한다
후보 도서: 『다정한 물리학』 1권만 기재
최종 선정 도서: 『다정한 물리학』
선정 이유: 융합적으로 다양하게 활동 이력을 만드는 게 좋을 것 같고, 꼭 내 진로가 아니더라도 안 하느니보다 좋겠다</t>
        </is>
      </c>
      <c r="E16" s="5" t="inlineStr">
        <is>
          <t>스스로 정한 기준('진로와 연관')과 달리 국어국문·사서 진로와 거리가 있는 물리학 책을 짝과 같이 고르고 '꼭 내 진로가 아니더라도'라고 적음 — 짝의 선택을 따른 것인지 확인 필요.
후보 도서 3권 비교 단계를 건너뜀.</t>
        </is>
      </c>
      <c r="F16" s="5" t="inlineStr">
        <is>
          <t>후보 도서 ②③ 미기재</t>
        </is>
      </c>
    </row>
    <row r="17" ht="210" customHeight="1">
      <c r="A17" s="4" t="inlineStr">
        <is>
          <t>P-3</t>
        </is>
      </c>
      <c r="B17" s="5" t="inlineStr">
        <is>
          <t>진로 프로젝트 3차시(진로독서): 독서 전 활동 및 독서 활동 시작</t>
        </is>
      </c>
      <c r="C17" s="5" t="inlineStr">
        <is>
          <t>제목·표지를 보고 내용 예상하기 → 목차 중 가장 궁금한 부분 정하기 → 이 책을 통해 알고 싶은 것 미리 적기</t>
        </is>
      </c>
      <c r="D17" s="5" t="inlineStr">
        <is>
          <t>[진로독서] 『다정한 물리학』(짝: 장승빈) — 독서 범위 1부 0~64쪽
· 제목/표지를 보고 예상한 내용: '물리학을 다정하게 설명해주는 책이구나'라고 생각한다.
· 목차 중 가장 궁금한 부분: '무에서 시작하는 사과파이 조립법' 파트 — 사과파이를 조리하는 데 필요한 게 더 있는지 궁금하다.
· 이 책을 통해 알고 싶은 것: 문과도 물리학을 해볼 만한지 읽어 보고 알아보겠다.</t>
        </is>
      </c>
      <c r="E17" s="5" t="inlineStr">
        <is>
          <t>'문과도 물리학을 해볼 만한지'라고 적어 국어국문·사서 진로와 거리가 있는 책을 짝 따라 고른 P-2의 고민이 이번에도 이어짐. 3칸은 모두 채웠으나 진로와의 연결보다 호기심 수준의 서술. 짝 장승빈은 같은 장(사과파이)을 골랐으나 읽을 범위 표기가 다름(0~64쪽 / 0~56쪽).</t>
        </is>
      </c>
      <c r="F17" s="5" t="inlineStr">
        <is>
          <t>-</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10816 유태석)</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 단, P-3 스캔본에는 이 학생의 활동지가 없음(결석·미제출 확인 필요, P-2에서 최종 도서 미정이었음).</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'키도 파란색이다(판독 추정) / 몸무게가 60 이하이다 / 동생이 있다'(일부 판독 어려움)
질문지: 자신 있게 말할 수 있다 → 미체크, 노력하고 있다·필요한 공부를 안다 → '그렇지 않다', 가족과 이야기·상담 경험 → '보통'
상담 상대: 교사, 부모나 친척 / 진로 결정 시 중요: 나의 소질과 적성, 가정의 경제 사정 / 정보 탐색: 인터넷, 부모님 말씀
노력(기타): '주변 선생님들이나 부모님께 여쭤본다' / 어려운 점: 나의 특성을 몰라서, 진로 체험 기회 부족, 진로 정보 탐색이 어려워서
약속: ★적극 — '중요한 것 같아서'
깨달은 점: '상담 받아야겠다' / 다섯 글자: '아자 화이팅'</t>
        </is>
      </c>
      <c r="E5" s="5" t="inlineStr">
        <is>
          <t>진로 결정 요인에 '가정의 경제 사정'을 함께 체크함. 진로 탐색 자신감이 낮고, OT 소감으로 '상담 받아야겠다'고 스스로 적음 — 개별 진로 상담 권장.</t>
        </is>
      </c>
      <c r="F5" s="5" t="inlineStr">
        <is>
          <t>퀴즈 정답 미기재, 자기소개 일부 판독 어려움</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1~3번 빈칸 작성: 정시=수능, 학생부교과/학생부종합, 수능 최저학력, 5등급제·상위 10%, 지필+수행, 수행평가, 192학점, 희망 진로, 1학년 여름방학
4~8번(학종·세특·창체·정시 변화·고교 생활 전략·다짐): 미기재</t>
        </is>
      </c>
      <c r="E6" s="5" t="inlineStr">
        <is>
          <t>앞부분만 작성하고 후반부는 비어 있음.</t>
        </is>
      </c>
      <c r="F6" s="5" t="inlineStr">
        <is>
          <t>4~8번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최종 등수 칸에 28·94·183·249 기재(계산식은 '277×34/100=0.34' 등 부정확하게 적음)
3번(동점자 등급·세특·세특 확인 시기), 느낀 점: 미기재
목표 점수: 국어 80, 수학 90, 영어 100, 한국사 70, 통합사회 70, 통합과학 80
시험 계획표: 전부 미기재</t>
        </is>
      </c>
      <c r="E7" s="5" t="inlineStr">
        <is>
          <t>등수는 맞게 적었으나 계산 과정이 맞지 않아, 결과를 옮겨 적은 것일 가능성이 있음. 시험 계획은 비어 있음.</t>
        </is>
      </c>
      <c r="F7" s="5" t="inlineStr">
        <is>
          <t>활동지에 학번·이름 미기재(본인 스캔본에 포함되어 본인 것으로 판단)
3번, 느낀 점, 계획표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①원만성(넬슨 만델라 / 국제 통상 전문가·외교관·인사 전문가) ②예술적 감수성(레오나르도 다빈치 / 공공디자이너·사진작가·건축가·작곡가) ③사교성(프란츠 리스트 / 소셜미디어 마케터·방송진행자·여행가이드)
핵심 강점: 예술적 감수성 — 연관 단어: 미술, 밴드, 창의적 / 강화 방안: '음악 듣기'
MIT 희망 전공: 음악, 무용·체육, 초·중등교육 / 추천 전공: 주거(인테리어)·의류(실내장식 디자이너·의상 디자이너 / 패션디자인학과·의류의상학과·실내디자인학과), 음악(연주가·작곡가·가수 / 피아노학과·실용음악과·기악과), 간호·보건(응급구조사·간호사·보건교사 / 간호학과·재활학과·응급구조학과)
가장 선호하는 계열: 예체능
불일치 이유: 미기재
선호 직무 유형: 미기재 / 직업 가치: 안정성, 경제적 풍족, 사회적 인정</t>
        </is>
      </c>
      <c r="E8" s="5" t="inlineStr">
        <is>
          <t>추천 전공 1순위로 '의류(의상 디자이너)'가 나온 것이 이후 패션코디네이터 관심으로 이어짐. 음악은 희망·추천 모두에 포함.</t>
        </is>
      </c>
      <c r="F8" s="5" t="inlineStr">
        <is>
          <t>불일치 이유, 선호 직무 유형 미기재</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스포츠 트레이너, 연주자, 생활스포츠지도사, 패션코디네이터 — 관련 학과는 4개 모두 작성(체육학과·스포츠의학과 / 실용음악과·기악과 등 / 사회체육학과·스포츠레저학과 등 / 코디네이션과·패션디자인과)
하는 일·필요 능력: 패션코디네이터만 작성('방송이나 공연의 성격, 연예인의 취향을 고려하여 어울리는 의상과 소품을 준비하고, 콘셉트와 장면에 맞는 의상·소품·메이크업·헤어스타일 연출' / 패션 감각, 창의력)
토너먼트·선택 이유·가치관 점검: 전부 미기재</t>
        </is>
      </c>
      <c r="E9" s="5" t="inlineStr">
        <is>
          <t>관심 직업 목록(체육·음악·패션)은 4차시 검사 결과와 연결되지만, 최고 관심 직업을 결정하는 토너먼트 단계가 비어 있음.</t>
        </is>
      </c>
      <c r="F9" s="5" t="inlineStr">
        <is>
          <t>3개 직업 하는 일·필요 능력, 토너먼트 전체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패션코디네이터(모둠 기록 기준)
AI 대체 가능: 기본 스타일 추천, 쇼핑 예측 및 상품 큐레이션, 트렌드 분석 / 협업: 가상 피팅 &amp; 스타일 시뮬레이션, 퍼스널 브랜딩 스타일링, 콘텐츠 제작 / 대체 불가: 사람 분위기를 읽는 감각, 문화와 감성을 해석하는 스타일링, 고객의 자신감을 변화시키는 역할
체크: 'AI가 예상보다 더 많이 대체할 수 있었다'
놀란 점: '위험하다'
키울 역량: 창의적 사고, 소통·협업 능력, 감성 지능(필요한 이유 미기재)
모둠(간호사·국제회의전문가·의사·패션코디네이터·전문의사) 결론: 'AI가 절대 못 하는 건 사람 간의 유연한 대처이다'</t>
        </is>
      </c>
      <c r="E10" s="5" t="inlineStr">
        <is>
          <t>AI 분석 표는 패션 분야에 맞게 채웠으나 이유·준비 칸은 비어 있음. AI의 영향에 대해 '위험하다'고 적음.</t>
        </is>
      </c>
      <c r="F10" s="5" t="inlineStr">
        <is>
          <t>역량별 이유, 준비 1가지, 미래 명함 미기재</t>
        </is>
      </c>
    </row>
    <row r="11" ht="60"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학번·이름만 적고 모든 칸(탐색 학과, 관심 대학, 학과 개요, 적성 연결, 관련 과목, 자격증, 진출 분야, 전망, 다짐) 미기재</t>
        </is>
      </c>
      <c r="E11" s="5" t="inlineStr">
        <is>
          <t>활동지를 작성하지 않음 — 최종 활동지에는 7차시 희망 학과로 '코디네이션과'를 적었으나 실제 탐색 기록은 없음.</t>
        </is>
      </c>
      <c r="F11" s="5" t="inlineStr">
        <is>
          <t>전 항목 미기재</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교과 전형 방법 '학생부교과 70%'만 기재, 최저 교과 X·종합 X·논술 O
종합·논술·정시 전형 방법, 반영 교과, 준비도 별점, 도전 전형: 미기재</t>
        </is>
      </c>
      <c r="E12" s="5" t="inlineStr">
        <is>
          <t>모집인원과 최저 기준 일부만 채움.</t>
        </is>
      </c>
      <c r="F12" s="5" t="inlineStr">
        <is>
          <t>대부분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패션코디네이터 → '부분 수정' / 희망 학과 코디네이션과 → '그대로 유지' / 목표 계열 예체능 → '그대로 유지'
바뀐 이유 / 유지 이유: 미기재
최종 진로 목표: 인문 / 패션코디네이터 / 패션코디네이션 / 성균관대
과목 선택 설계, 대입 전형, 2학기 집중 과제, 2학기 다짐: 전부 미기재</t>
        </is>
      </c>
      <c r="E13" s="5" t="inlineStr">
        <is>
          <t>패션코디네이터라는 관심 직업은 1-4(의상 디자이너 추천) → 1-5 → 1-6 → 최종으로 이어지지만, 1-5 토너먼트·1-7 학과 탐색·최종 과목 설계가 모두 비어 있어 구체적인 탐색이 이루어지지 않음.
최종 활동지에서 목표 계열을 1학기 초 '예체능'이라고 적고는 희망 계열 칸에 '인문'을 적어 계열 개념 확인 필요.
2-2도 학업역량 순위만 적음. 1-1 소감 '상담 받아야겠다'와 함께, 과목 선택 전 개별 진로 상담이 꼭 필요한 학생.</t>
        </is>
      </c>
      <c r="F13" s="5" t="inlineStr">
        <is>
          <t>과목 설계·대입 전형·다짐 전체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스마트시스템과학과
학업역량 C&gt;A&gt;B — 이유 미기재
진로역량·공동체역량: 미기재
예상·결과, 느낀 점·배운 점: 미기재</t>
        </is>
      </c>
      <c r="E14" s="5" t="inlineStr">
        <is>
          <t>학업역량 순위만 적고 나머지가 모두 비어 있음 — 활동 참여 여부 확인 필요.</t>
        </is>
      </c>
      <c r="F14" s="5" t="inlineStr">
        <is>
          <t>학업역량 순위 외 전 항목 미기재</t>
        </is>
      </c>
    </row>
    <row r="15" ht="13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진로독서
선택 이유: 아직 진로를 정하지 못해서 여러 분야를 접해보고 거기서 흥미 있는 것을 찾고 싶다
읽고 싶은 후보 분야: 수영, 패션(판독 추정)
진로독서 이유·도서 선정 기준: 미기재
8차시 계획·다짐·자가점검: 미기재</t>
        </is>
      </c>
      <c r="E15" s="5" t="inlineStr">
        <is>
          <t>활동지 학번·이름 칸을 비우고 상단 여백에 따로 적음.
1학기 패션코디네이터·스포츠 관련 관심이 후보 분야(패션·수영)에 그대로 드러남. '여러 분야를 접해보고 싶다'는 선택 이유는 트랙 취지에 잘 맞음.</t>
        </is>
      </c>
      <c r="F15" s="5" t="inlineStr">
        <is>
          <t>학번·이름 칸 미기재(여백 기재)
진로독서 이유, 도서 기준, 계획표, 다짐 미기재
후보 분야 판독 추정</t>
        </is>
      </c>
    </row>
    <row r="16" ht="124" customHeight="1">
      <c r="A16" s="4" t="inlineStr">
        <is>
          <t>P-2</t>
        </is>
      </c>
      <c r="B16" s="5" t="inlineStr">
        <is>
          <t>진로 프로젝트 2차시(진로독서): 도서 선정</t>
        </is>
      </c>
      <c r="C16" s="5" t="inlineStr">
        <is>
          <t>진로독서의 필요성 생각 → 도서 선정 기준(관심 분야·난이도·최신성 등) 정리 → 후보 도서 3권 비교 → 최종 1권 선정과 이유</t>
        </is>
      </c>
      <c r="D16" s="5" t="inlineStr">
        <is>
          <t>탐구 형태: 개인
진로독서 이유: 관심 진로를 찾기 위해서
도서 선정 기준: 여러 가지 진로를 알아볼 수 있는가, 직업의 장단점이 잘 나와 있는가, 읽고 나서 생각이 드는가
후보 도서 ①: 『꿈을 찾는 진로 상담소』(판독 추정)
후보 도서 ②③·최종 선정 도서·선정 이유: 미기재</t>
        </is>
      </c>
      <c r="E16" s="5" t="inlineStr">
        <is>
          <t>도서 선정 기준은 목적(여러 진로 탐색)에 맞게 잘 세웠으나 최종 도서를 정하지 못함 — 3차시 독서 전에 도서 확정 필요.</t>
        </is>
      </c>
      <c r="F16" s="5" t="inlineStr">
        <is>
          <t>후보 도서 ②③, 최종 도서, 선정 이유 미기재
후보 도서 ① 제목 판독 추정</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10817 이건민)</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'나에게는 동생이 있다 / 나는 고양이를 싫어한다 / 나는 눈이 매우 안 좋다', '나에게는 남동생이 있다'
질문지: 자신 있게 말할 수 있다·상담 경험 → '매우 그렇지 않다', 노력하고 있다·가족과 이야기·필요한 공부를 안다 → '그렇지 않다'
상담 상대: 기타('없음') / 진로 결정 시 중요: 나의 소질과 적성 / 정보 탐색: 인터넷
노력: 틈틈이 정보 수집 / 어려운 점: 나의 특성을 몰라서 / 진로수업에 바라는 것: '없음'
약속: ★적극 — '이걸 적극 참여해서 적성에 맞는 일을 찾을 수 있기 때문이다'
깨달은 점: '이제는 정말 꿈을 진지하게 생각해 봐야 한다고 깨달았습니다' / 다섯 글자: '내 꿈을 찾자'</t>
        </is>
      </c>
      <c r="E5" s="5" t="inlineStr">
        <is>
          <t>진로 자신감 문항이 모두 부정적이고 상담 상대도 '없음' — 진로 미결정 상태에서 출발했지만, '꿈을 진지하게 생각해 봐야 한다'는 다짐을 남김.
이후 방송 기술·영상 분야로 진로가 구체화됨(1-7에서 '중학생 때부터 방송부 활동'을 밝힘).</t>
        </is>
      </c>
      <c r="F5" s="5" t="inlineStr">
        <is>
          <t>퀴즈 정답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대부분 정확히 작성: 정시=수능, 교과/학생부종합, 수능 최저, 5등급제·상위 10%, 수행+지필, 수행평가, 192학점, 진로, 1학년 여름방학, 과정, 과목별 세부능력 및 특기사항, 적극적으로 수업 참여, 자율·동아리·행동특성, 공통·통합사회/통합과학, 역전, 주도성
'정시에 함께 반영하는 것' 칸은 'O'로 적음
활동 후 다짐: 미기재</t>
        </is>
      </c>
      <c r="E6" s="5" t="inlineStr">
        <is>
          <t>영상 핵심 내용을 대부분 정확히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1등급 28등, 2등급 94등, 3등급 183등, 4등급 249등(계산식 기재, 최종값 정확)
100점 동점자 50명 → 2등급 / 세특 관련 2문항: 미기재
1등급 28명에 대한 느낀 점: 미기재
목표 점수: 6과목 모두 100점
시험 계획: 영어만 작성(1·2과 본문 해석, 단어 외우기, 문제집 풀기, 25년 3월 학력평가·26년 3월 모의고사 풀기)</t>
        </is>
      </c>
      <c r="E7" s="5" t="inlineStr">
        <is>
          <t>계산 정답. 목표 점수를 전 과목 100점으로 적었으나 계획은 영어만 세움 — 목표와 계획의 현실성 점검 필요.</t>
        </is>
      </c>
      <c r="F7" s="5" t="inlineStr">
        <is>
          <t>세특 관련 문항, 느낀 점, 영어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①원만성(넬슨 만델라 / 국제 통상 전문가·외교관·인사 전문가) ②도덕성(임마누엘 칸트 / 의약품 인허가 전문가·판사·초중고 교사) ③끈기(세종대왕 / 반려동물 행동교정 전문가·연주가·운동선수·동물사육사)
핵심 강점: 끈기 — 연관 단어: 습관, 인내, 책임감, 열정, 세종대왕, 긴 시간, 포기X 등 / 강화 방안: '책임감을 가진다', '작은 거부터 해라'
MIT 희망 전공: 기계·조선·항공, 전기·전자·컴퓨터, 무용·체육 / 추천 전공: 영상·공연(영화감독·방송연출가·기술감독 / 미디어영상학과·공연예술학과·연기예술학과), 언론·홍보(방송기자·아나운서 / 미디어학과·미디어영상광고학과), 기계·조선·항공(로봇공학기술자 / 기계공학과·로봇공학과·메카트로닉스공학과)
가장 선호하는 계열: 예체능계열
불일치 이유: '비슷한 거 같다'
선호 직무 유형: 연구자형 / 직업 가치: 안정성, 경제적 풍족, 사회적 인정</t>
        </is>
      </c>
      <c r="E8" s="5" t="inlineStr">
        <is>
          <t>희망 전공(기계·전자 등 공학)과 추천 전공(영상·공연, 언론·홍보)이 1·2순위에서 다른데 '비슷한 거 같다'고 적음. 추천 전공의 '기술감독·방송연출가'가 이후 최고 관심 직업이 됨.</t>
        </is>
      </c>
      <c r="F8" s="5" t="inlineStr">
        <is>
          <t>불일치 이유 분석이 짧음</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방송연출가(라디오·텔레비전 프로그램 기획·제작 / 창의력·예술적 감각 / 방송영상과·방송제작과), 기술감독(카메라·음향·조명·송출 같은 기술 영역 전체 관리 / 영상 스위처·카메라 시스템 / 방송영상학과·방송기술학과), 방송기자(각종 사고·정치 소식 등을 일반인에게 전달 / 언어 능력 / 신문방송학과·언론홍보학과), 아나운서(라디오·TV 방송으로 각종 정보 전달 / 언어 능력 / 방송영상학과·연극영화과)
토너먼트: 결승 방송연출가 vs 기술감독 → 최종 '기술감독'
선택 이유: '기술이 더 잘 알고 있어서', '기술이 좀 더 적성이 맞아서' / 방송연출가 선택 이유: '연출이 더 적성에 맞을 것 같아서' / 포기 이유: '연출보다는 기술이 더 익숙해서'
AI 관련 정도: 기술감독은 방송 기술 시스템을 분석하고 문제를 해결하는 전문직으로 연구자형 성향과 잘 맞고 안정성·경제적 풍족 가치와도 연결된다는 취지(일부 판독 어려움)</t>
        </is>
      </c>
      <c r="E9" s="5" t="inlineStr">
        <is>
          <t>4개 직업을 모두 방송 분야로 고르고 직업 정보 표를 성실히 채움. 직접 해 본 경험(방송부)을 근거로 '연출'보다 '기술'을 선택함.</t>
        </is>
      </c>
      <c r="F9" s="5" t="inlineStr">
        <is>
          <t>AI 관련 정도 일부 판독 어려움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방송엔지니어(모둠 기록 기준)
AI 대체 가능: 방송 송출 중 음량 이상·화면 끊김·색감 모니터링 / 협업: 라이브 방송 운영, 가상 스튜디오·XR·실감형 방송 제작 / 대체 불가: 돌발 상황에서의 종합 판단, 연출 의도와 감성 이해, 사람 사이의 협업과 현장 리더십
체크: 'AI가 못 하는 부분이 생각보다 많았다'
놀란 점: 'AI라서 다 할 줄 알았는데 막상 생각해 보면 못 하는 것도 있었다'
키울 역량: 창의적 사고(AI는 정해진 틀에서만 생각하기 때문), 리더십(사람들에게 리더십을 키워야 함), 공감 능력(AI는 감정이 없기 때문)
모둠(화학연구원·교육학연구원·통역가·영화감독·방송엔지니어) 결론: 'AI가 절대 못 하는 건 상황 해결 능력이다'</t>
        </is>
      </c>
      <c r="E10" s="5" t="inlineStr">
        <is>
          <t>방송 현장에 맞게 AI 분석을 구체적으로 작성함.</t>
        </is>
      </c>
      <c r="F10" s="5" t="inlineStr">
        <is>
          <t>준비 1가지, 미래 명함 미기재
2쪽 여백에 부적절한 영어 낙서가 있음(참고)</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방송영상과·방송제작과 / 관심 대학: 한양대학교(ERICA)
학과 개요: 영상 제작의 핵심 분야인 기획과 연출, 촬영, 편집, 시나리오 등을 집중 교육해서 영상 제작 전문 인력을 양성
적성 연결: '중학생 때부터 꾸준히 방송부 일을 해 오며 경험을 쌓음 → 할 줄 아는 게 이거밖에 없음'
고교 관련 과목: 국어, 사회, 생활·교양 / 대학 주요 교과목: 방송학개론, 영상연출론, 영화사, 디지털영상편집
자격증: 무대예술전문인, 컴퓨터그래픽스운용기능사 / 진출 분야: 언론사, 영화 제작사, 회사 홍보실 / 전망: 취업률 73%
지금 노력할 것: '관련 학과에 대해 더 찾아보고 고등학교 방송부 일을 하며 경험 더 쌓기'</t>
        </is>
      </c>
      <c r="E11" s="5" t="inlineStr">
        <is>
          <t>모든 칸을 채움. 중학생 때부터의 방송부 경험이 진로의 핵심 근거.
'할 줄 아는 게 이거밖에 없음'이라는 표현에서 자기 평가가 낮은 면이 보임(상담 시 참고).
2인 1조 활동으로 10819 이지웅과 탐색 내용이 거의 같음.</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470·894·291·45 / 교과 학생부교과 70%+교과 관련 영역 서류종합평가 30%, 최저 미적용 / 종합 1단계 서류종합평가 100%, 2단계 면접 40%+1단계 성적 60%, 최저 미적용 / 논술 학생부 30%(교과 20%·출결 10%)+논술 70%, 최저 적용 / 정시 수능 80%+학생부평가 20%, 최저 미적용
반영 교과·과목 수·방법: 미기재
전형별 준비도 별점: 미기재 / 도전 전형·선택 이유: 미기재</t>
        </is>
      </c>
      <c r="E12" s="5" t="inlineStr">
        <is>
          <t>모집요강 표는 정확히 채웠으나 본인 준비도 점검은 비어 있음.</t>
        </is>
      </c>
      <c r="F12" s="5" t="inlineStr">
        <is>
          <t>반영 교과,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방송엔지니어 → '그대로 유지' / 희망 학과 영상연출 → '그대로 유지' / 목표 대학 한양대 → '완전히 바뀜'
바뀐 이유: '성적이 안 좋고 완전 영상 쪽으로 가고 싶어서'
최종 진로 목표: 공학 계열(앞부분 지운 흔적) / 방송엔지니어 / 영상연출 / 한국영상대학교
과목 설계: 국어(영상 쪽) 문학과 영상(2학년/진로) / 영어(전공 활용도) 미디어 영어(2학년/진로) / 수학·사회·과학·기타: 미기재
수시 관심: 학생부 종합 / 정시 관심: 실기/실적
2학기 집중 과제: '방송 기술 알기' / 2학기 다짐: '정신 차리고 공부하겠습니다'</t>
        </is>
      </c>
      <c r="E13" s="5" t="inlineStr">
        <is>
          <t>1-4 추천 전공(영상·공연) → 1-5 기술감독 → 1-6 방송엔지니어 → 1-7 방송영상과 → 최종 방송엔지니어로 방송 기술 분야에 일관됨.
목표 대학을 한양대(ERICA)에서 한국영상대학교로 바꾼 이유로 '성적이 안 좋고'를 직접 적음 — 1-3에서 전 과목 100점을 목표로 적은 것과 대비됨.
희망 계열(공학)과 희망 학과(영상연출)의 계열이 섞여 있고, 수학·과학 과목 설계가 비어 있어 방송공학 vs 영상연출 방향 확인이 필요함.</t>
        </is>
      </c>
      <c r="F13" s="5" t="inlineStr">
        <is>
          <t>수학·사회·과학·기타 과목 설계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스마트시스템과학과
학업역량 B&gt;A&gt;C — 이유: B가 점수가 가장 높고, 3명의 독서활동·의미 있는 활동을 비교해 보니 B가 더 우수한 것 같다
진로역량·공동체역량: 미기재
예상 C-B-A → 결과 A-B-C
느낀 점: '처음 느껴보는 느낌이라 신기했다' / 배운 점: '내가 챙겨야 할 건 많다'</t>
        </is>
      </c>
      <c r="E14" s="5" t="inlineStr">
        <is>
          <t>학업역량 판단에 독서활동까지 함께 고려함.</t>
        </is>
      </c>
      <c r="F14" s="5" t="inlineStr">
        <is>
          <t>진로·공동체역량 미기재</t>
        </is>
      </c>
    </row>
    <row r="15" ht="152"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습관형성(주제탐구 칸에도 희미한 표시)
선택 이유: '평소에 방송 관련 꿈을 가져야겠다고 생각했고 할 줄 아는 게 이거밖에 없어서'
A 주제탐구 칸: '진로 연계형'에 체크했으나 나머지는 지운 흔적만 있고 공란
C 습관형성 칸(닮고 싶은 사람·습관의 중요성·개선할 습관): 미기재
8차시 계획·다짐·자가점검: 미기재</t>
        </is>
      </c>
      <c r="E15" s="5" t="inlineStr">
        <is>
          <t>선택 이유는 방송 진로에 관한 내용인데 트랙은 습관형성을 골라, 이유와 트랙이 맞지 않음.
'할 줄 아는 게 이거밖에 없어서'라는 표현에서 자신감이 낮은 모습이 보임(1학기 최종에서도 '성적이 안 좋다'고 적음) — 상담 시 참고.</t>
        </is>
      </c>
      <c r="F15" s="5" t="inlineStr">
        <is>
          <t>습관형성 칸 전체, 계획표, 다짐 미기재</t>
        </is>
      </c>
    </row>
    <row r="16" ht="320" customHeight="1">
      <c r="A16" s="4" t="inlineStr">
        <is>
          <t>P-2</t>
        </is>
      </c>
      <c r="B16" s="5" t="inlineStr">
        <is>
          <t>진로 프로젝트 2차시(습관형성): 나를 돌아보고, 목표 세우기</t>
        </is>
      </c>
      <c r="C16" s="5" t="inlineStr">
        <is>
          <t>최근 목표·계획 돌아보기 → 목표 달성·실행 정도 자기평가 → 장애물과 개선방안 → SMART 기법으로 습관 목표 구체화 → 실천 인증 방법 → 모둠 의견 반영 최종 습관 목표</t>
        </is>
      </c>
      <c r="D16" s="5" t="inlineStr">
        <is>
          <t>탐구 형태: 서무영(10813)과 함께
최근 목표·계획: 국어 점수 올리기 / 수업시간에 졸지 않기, 국어 문제 세 개씩 풀기, 수업에 집중하기, 고전 산문 하나씩 보기
자기평가: 목표 달성 '만족', 계획 실행 '매우 부족' — 이유: '내가 봐도 국어는 너무 부족해서 이것을 이루면 자신감이 올라갈 것 같다'
장애물·개선방안: 미기재
SMART 습관 목표: 남는 시간에 문제 푸는 습관 만들기
- S: 매일 남는 시간에 고전 산문을 읽고 관련 문제 풀기
- M: 매일 푼 문제를 채점·기록하고 비교해 본다
- A: 고전 산문 문제 1개, 다른 국어 개념 문제 3개씩 푼다
- R: 매일 국어 문제를 풀어서 국어 점수 20점을 올린다
- T: 추석 전부터 시험 때까지 매일 실천(일부 판독 어려움)
인증 방법: 짝(동료)에게 매일 확인받기 — 사진 찍어 DM으로 보내기
최종 습관 목표: '꾸준히 해서 점수 올리기'</t>
        </is>
      </c>
      <c r="E16" s="5" t="inlineStr">
        <is>
          <t>1차시에는 거의 비어 있었지만 2차시에서는 SMART 목표를 모두 채움 — 짝 활동이 도움이 된 것으로 보임.
'이것을 이루면 자신감이 올라갈 것 같다'고 적어, 1차시에서 보인 낮은 자신감을 스스로 끌어올리려는 동기가 드러남.</t>
        </is>
      </c>
      <c r="F16" s="5" t="inlineStr">
        <is>
          <t>장애물·개선방안 표 미기재
Time-bound 기한 일부 판독 어려움</t>
        </is>
      </c>
    </row>
    <row r="17" ht="210" customHeight="1">
      <c r="A17" s="4" t="inlineStr">
        <is>
          <t>P-3</t>
        </is>
      </c>
      <c r="B17" s="5" t="inlineStr">
        <is>
          <t>진로 프로젝트 3차시(습관형성): 습관 실천 — 1주차 습관 기록표</t>
        </is>
      </c>
      <c r="C17" s="5" t="inlineStr">
        <is>
          <t>1주차 습관 기록표: 이번 주 목표·확인(인증) 방법 정하기, 요일별 실천 내용·실천/인증 체크·오늘의 한 줄(동료 응원), 실천 일수와 한 주 소감 작성</t>
        </is>
      </c>
      <c r="D17" s="5" t="inlineStr">
        <is>
          <t>[습관형성] 1주차 습관 기록표
· 이번 주 목표: 고전 산문 하루에 하나씩 읽고 문제 풀기 / 확인(인증) 방법: 짝(우영)에게 DM 보내기
· 월: 판독 어려움('자 먹음'으로 추정)(×) / 화: 국어 시험 범위 프린트 문제를 풀었다(○, 한 줄: '우영아 열심히 하겠') / 수~일: '시골'(×), 한 줄은 '우영아 미안해'
· 이번 주 실천 일수: 1일 / 7일
· 느낀 점: 추석 동안 시골에 가 있었는데 프린트를 못 가져가서 (하지) 못했다(판독 추정).</t>
        </is>
      </c>
      <c r="E17" s="5" t="inlineStr">
        <is>
          <t>실천은 1/7일로 저조하지만 요일별 사유와 짝에게 미안함을 솔직하게 적음(추석 연휴로 시골에 있었던 것이 이유). 인증 칸 체크가 실천 여부와 맞지 않는 날이 있음(수·목). 지난 P-2에서 '이루면 자신감이 올라갈 것 같다'고 적었던 국어 목표라 다음 주 재시작을 함께 계획하면 좋겠음.</t>
        </is>
      </c>
      <c r="F17" s="5" t="inlineStr">
        <is>
          <t>월요일 실천 내용 판독 어려움
인증 ✓ 체크와 실천 ×가 불일치(수·목)
느낀 점 일부 판독 추정</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10818 이주희)</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P-2 스캔본에 함께 들어 있던 1차시 활동지 보완본(다시 작성한 앞장)은 P-1 행에 합쳐 정리함.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3, 2번 2 / 선생님께: '반갑습니다'(그림)
자기소개 진진가: '나의 MBTI가 INFP이다 / 나는 세븐틴이라는 그룹을 좋아한다 / 나의 음악 취향은 인디힙합이다', '나는 혼자서 영화 보는 걸 좋아한다 / 나는 마라탕을 좋아한다 / 나는 애니 하이큐를 좋아한다'
질문지: 자신 있게 말할 수 있다·필요한 공부를 안다·상담 경험 → '그렇다', 노력하고 있다·가족과 이야기 → '보통'
상담 상대: 부모나 친척, 선배나 친구 / 진로 결정 시 중요: 가정의 경제 사정 / 정보 탐색: 인터넷
노력: 다양한 진로 체험 활동 / 어려운 점: 나의 특성을 몰라서, 진로 체험 기회 부족
약속: ★존중 — '남을 먼저 존중을 해야 나도 존중받기 때문'
깨달은 점: '고등학교는 이제는 직업을 찾는 게 아닌 정해지는 기간이다' / 다섯 글자: '집 가고 싶다'</t>
        </is>
      </c>
      <c r="E5" s="5" t="inlineStr">
        <is>
          <t>진로 결정 시 가장 중요한 요인으로 '가정의 경제 사정'만 체크함 — 1-5에서 '돈을 많이 벌어서' 전문의사를 고른 선택 기준과 연결됨.</t>
        </is>
      </c>
      <c r="F5" s="5" t="inlineStr">
        <is>
          <t>-</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작성: 정시=수능, 학생부교과/학생부종합, 수능 최저학력, 5등급제·상위 10%, 지필+수행, 수행평가, 192학점, 희망 진로, 1학년 여름방학, 과정, 세부능력 및 특기사항(세특), 수업에 적극적으로 참여(발표·과제 성실 수행), 자율·동아리·행동특성 및 종합의견, 공통·통합사회/통합과학, 내신, 역전, 주도성
활동 후 다짐: 미기재</t>
        </is>
      </c>
      <c r="E6" s="5" t="inlineStr">
        <is>
          <t>영상 핵심 내용을 빠짐없이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1등급 28등, 2등급 94등, 3등급 183등, 4등급 249등(최종값 정확, 계산식은 일부만)
100점 동점자 50명 → '1등급 10% 초과이므로 전원 2등급' / 대학이 깊게 보는 항목 → 과목별 세부능력 및 특기사항(세특) / 세특 확인 → 2학년 진급 후 확인 가능
1등급 28명에 대한 느낀 점: 미기재
목표 점수: 6과목 모두 60점
시험 계획: 4/9~4/14 날짜별 작성 — 국어(노트 정리, 3월 모의고사 문학 파트), 수학(프린트 문제, 학원 수학 문제, 1·2단원 문제 풀기), 영어(2026 3월 모의고사 21·22·29번, 영어 본문 암기, 2025년 3월 학력평가), 한국사(교과서 필기 노트 정리, 문제 풀기), 통합사회(암기+노트 정리), 통합과학(2-1단원 노트 정리+암기)</t>
        </is>
      </c>
      <c r="E7" s="5" t="inlineStr">
        <is>
          <t>계산 정답. 6과목 계획을 구체적으로 세움.
목표 점수를 전 과목 60점으로 적어, 의대 진학 목표와 비교하면 현재 학업 자신감이 낮은 것으로 보임.</t>
        </is>
      </c>
      <c r="F7" s="5" t="inlineStr">
        <is>
          <t>활동지에 학번·이름 미기재(본인 스캔본에 포함되어 본인 것으로 판단)
느낀 점, 4/15 이후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①긍정성(프랭클린 루스벨트 / 창업투자 전문가·벤처투자가·홍보 전문가) ②도덕성(임마누엘 칸트 / 의약품 인허가 전문가·초중고 교사·판사) ③용감성(안중근 / 위기협상 전문가·소방관·경찰관)
핵심 강점: 도덕성 — 연관 단어: 예의, 법, 윤리, 예절, 신사, 인사, 규칙 등 / 강화 방안: '질서를 지키며 내 순서를 기다리기', '어른들에게 예의를 지키기', '어디를 가든 인사는 꼭 하기', 도덕적인 삶을 다룬 영화를 보며 미래 상황 상상하기(일부 판독 어려움)
MIT 희망 전공: 간호·보건, 의료, 사회·심리 / 추천 전공: 간호·보건(간호사·보건교사 등), 의료(일반 의사·의료코디네이터·의과학 연구원 / 의예과·한의예과 등), 약학(약사 / 약학과·제약학과·한약학과)
가장 선호하는 계열: 의료
선호 직무 유형: 예술가형 / 직업 가치: 경제적 풍족, 안정성, 사회적 인정</t>
        </is>
      </c>
      <c r="E8" s="5" t="inlineStr">
        <is>
          <t>희망·추천 전공이 간호·보건, 의료로 1·2순위까지 일치 — 의료 계열 관심이 뚜렷함. 강점 강화 방안을 생활 속 행동으로 구체적으로 적음.</t>
        </is>
      </c>
      <c r="F8" s="5" t="inlineStr">
        <is>
          <t>불일치 이유 칸 미기재(대부분 일치)</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전문의사(환자의 병에 대한 원인을 찾아 치료·예방, 손상된 신체 복구·재활 / 자기성찰능력·수리논리력 / 의예과), 간호사(의사의 진료 도움, 처방에 따른 투약·간호, 환자 상태 관찰 등 / 대인관계능력 / 간호학과), 약사 및 한약사(의사의 처방전에 따라 약 조제, 복약 지도 등 / 자기성찰능력·수리논리력 / 약학부·한약학과), 플로리스트(꽃·식물을 이용한 화훼 장식, 고객 요구에 맞는 상품 제작 / 예술시각능력·창의력 / 원예과·원예학과)
토너먼트: 결승 전문의사 vs 약사 및 한약사 → 최종 '전문의사'
선택 이유: '돈을 많이 벌어서(어차피 힘든 거는 똑같은데 그중 더 이득이 큰 거 같아서)' / 준결승: 간호사·전문의사 모두 힘들지만 돈을 더 받는 전문의사를 선택 / 약사 포기 이유: '가성비가 없어서(똑같이 공부하고 돈을 덜 받는 것 같기 때문에)' / 플로리스트는 나이가 들어서도 할 수 있어 나중에 직업으로 삼을 생각이라는 취지(일부 판독 어려움)
직무유형·가치관 점검: 미기재</t>
        </is>
      </c>
      <c r="E9" s="5" t="inlineStr">
        <is>
          <t>직업 선택의 기준을 '수입(경제적 풍족)'으로 일관되게 설명함 — 1-1 '가정의 경제 사정', 1-4 직업 가치 1순위 '경제적 풍족'과 일치.
직업 정보 표를 매우 꼼꼼하게 작성함.</t>
        </is>
      </c>
      <c r="F9" s="5" t="inlineStr">
        <is>
          <t>플로리스트 관련 이유 일부 판독 어려움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의사(모둠 기록 기준)
AI 대체 가능: 영상의학 자료 분석, 처방전 및 의료 문서 작성, 초기 증상 분류 / 협업: 개인 맞춤형 치료 계획, 실시간 수술 보조, 만성질환 모니터링 / 대체 불가: 정서적 교감과 호스피스 케어, 복합적·비정형적 의료 결정, 의료 윤리적 책임
체크: 미체크
놀란 점: '수술 중 컴퓨터 비전 AI가 주요 혈관 위치나 위험 구역을 실시간으로 안내하며 의사를 돕는다는 점이 가장 놀라웠다'
키울 역량: 창의적 사고(수술을 어떻게 이끌지 필요), AI 리터러시(앞으로 살아갈 세대를 위해), 수업·콘텐츠 설계 능력(AI로 설명하는 게 아니라 내가 설명해야 하기 위해)
지금 시작할 준비: '누워서 생각하고 그걸 어떻게 활용할지 생각하는 것(창의성 발견)'
모둠(간호사·국제회의전문가·의사·패션코디네이터·전문의사) 결론: 'AI가 절대 못 하는 건 사람 간의 유연한 대처이다'</t>
        </is>
      </c>
      <c r="E10" s="5" t="inlineStr">
        <is>
          <t>AI 분석이 의료 현장에 맞게 구체적이고, 놀란 점도 구체적인 기술(수술 중 컴퓨터 비전)로 적음.</t>
        </is>
      </c>
      <c r="F10" s="5" t="inlineStr">
        <is>
          <t>미래 명함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의예과 / 관심 대학: 성균관대, 한양대, 고려대
학과 개요: 의료인으로서의 윤리의식을 함양하고 사회적 책임을 다할 수 있는 소양과 실용적인 능력을 갖춘 전문 의사를 키우며, 순수 자연과학을 바탕으로 사람을 살리는 데 필요한 지식을 가르침
적성 연결: '무언가를 할 때 신중하고 정밀하게 작업을 완성한다 → 수술을 위해서는 정교한 동작을 할 줄 알아야 한다'
고교 관련 과목: 영어, 수학, 과학, 윤리 / 대학 주요 교과목: 의학개론, 해부학, 일반생물, 의학유전학, 생명윤리
자격증: 의사면허 / 진출 분야: 종합병원, 대학병원, 국립암센터, 질병관리본부, 진학 / 전망: 취업률 약 94%, 대학병원으로 대부분 진출
지금 노력할 것: '수학·영어 기초 탄탄히, 과학은 복습·암기 계속하기, 그리고 관련 활동들 적극 참여'</t>
        </is>
      </c>
      <c r="E11" s="5" t="inlineStr">
        <is>
          <t>모든 칸을 충실하게 채움. 자신의 성향(신중·정밀)을 외과 수술과 연결함 — 최종 활동지의 '외과의사' 선택과 이어짐.</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470·894·291·327 / 교과 학생부교과 70%+서류종합 30%, 최저 X / 종합 1단계 서류종합 100%, 2단계 면접 40%+1단계 성적 60%, 최저 X / 논술 논술 70%+교과 20%+출결 10%, 최저 O / 정시 수능 80%+학생부평가 20%, 나군 그 외 전형(조소 전공) 수능 60%+실기 40%, 최저 X
반영 교과·과목 수·방법: 미기재
전형별 준비도 별점: 미기재 / 도전 전형·선택 이유: 미기재</t>
        </is>
      </c>
      <c r="E12" s="5" t="inlineStr">
        <is>
          <t>모집요강 표는 정확하게 채움. 본인 준비도 점검은 비어 있음.</t>
        </is>
      </c>
      <c r="F12" s="5" t="inlineStr">
        <is>
          <t>반영 교과,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전문의사 → '부분 수정' / 희망 학과 의예과 → '부분 수정' / 목표 계열 의료계열 → '그대로 유지'
이유: '1학기 성적을 대상으로 보면 전문의사, 의예과에 맞지 않기 때문에 바꾸었고, 의료계열은 원래 내가 원했던 부분이라 유지했다'
최종 진로 목표: 의료 / 외과의사 / 의학과 / 한양대
과목 설계: 수학(수학적 사고력) 기하·인공지능 수학 / 사회(의료윤리와 관련) 윤리와 사상·현대사회와 윤리 / 과학(의학 기초·원리 이해) 생명과학·화학·물리학·세포와 물질대사·화학 반응의 세계·역학과 에너지 / 국어·영어·기타: 미기재
수시 관심: 학생부 종합 / 정시 관심: 수능
2학기 집중 과제: '과학 1학기 전체 복습하고 이해하기' / 2학기 다짐: '2학기 때는 시험을 미리 준비하고 대비하자'</t>
        </is>
      </c>
      <c r="E13" s="5" t="inlineStr">
        <is>
          <t>1-4부터 의료 계열로 일관되고, 1-7에서 찾은 '정밀한 작업' 성향이 최종 '외과의사'로 이어짐. 과학 과목을 의학 계열에 맞게 폭넓게 선택함.
'1학기 성적상 의예과에 맞지 않아 바꿨다'고 적었지만 최종 목표는 여전히 외과의사·의학과여서, 실제로 무엇을 조정하려는 것인지 확인 필요(1-3 목표 점수도 전 과목 60점).
국어·영어 과목 설계가 비어 있음.</t>
        </is>
      </c>
      <c r="F13" s="5" t="inlineStr">
        <is>
          <t>활동지에 학번·이름 미기재(본인 스캔본에 포함되어 본인 것으로 판단)
국어·영어·기타 과목 설계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2025 소비자학 전공
학업역량 C&gt;B&gt;A — 이유: A는 2등급이 많고, B는 C에 비해 과학 부분이 떨어짐
진로역량 C&gt;A&gt;B — 이유: B는 진로와 관련 없는 책을 읽었고, A는 C에 비해 진로 관련 읽기 활동이 적음
공동체역량 A&gt;C&gt;B — 이유: B는 자기중심적인 내용이 많고, A는 리더십과 원만한 관계, 추진력이 드러남(일부 판독 어려움)
예상 C-B-A → 결과 B-A-C
느낀 점: '열심히 하자'
배운 점: 진로 관련 책을 읽고 생기부에 남겨야겠다(일부 판독 어려움)</t>
        </is>
      </c>
      <c r="E14" s="5" t="inlineStr">
        <is>
          <t>독서 기록과 진로의 연관성을 중요하게 봄 — 본인 독서 활동 계획으로 연결됨.</t>
        </is>
      </c>
      <c r="F14" s="5" t="inlineStr">
        <is>
          <t>공동체역량 이유·배운 점 일부 판독 어려움</t>
        </is>
      </c>
    </row>
    <row r="15" ht="194"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주제탐구(원본 활동지에 '김연아와 함께'로 적음, 보완본에서는 with 칸 비움)
선택 이유: 진로에 대한 틀은 어느 정도 갖춰졌고, 이제는 주제를 더해서 쓸 내용을 추가하기 위해
관심 분야: 간호사, 해부학자, 법의학자
그렇게 생각한 이유: 어렸을 적 병원에서 받은 고마움과 친절한 기억이 남아, 여러 사람의 마음속에 따뜻한 기억으로 남을 수 있는 직업이 간호사라서
[보완본] 잠정 탐구 주제: 호흡을 하는 과정과 호흡기 구조
[보완본] 주제 선택 이유: 평소에 내가 숨을 어떻게 쉬는지, 숨 쉬려면 어떤 기관들을 쓰는지 궁금해서
8차시 계획·다짐: 미기재</t>
        </is>
      </c>
      <c r="E15" s="5" t="inlineStr">
        <is>
          <t>P-2 스캔본 24쪽의 1차시 보완본을 함께 반영함.
1학기 최종에서 '성적상 전문의사·의예과가 맞지 않는 것 같다'며 부분 수정했는데, 이번에는 관심 직업 1순위를 간호사로 적음 — 의료계열 안에서 목표를 조정하는 흐름.
간호사를 꿈꾸게 된 개인적 경험(병원에서 받은 친절)이 구체적으로 드러남.</t>
        </is>
      </c>
      <c r="F15" s="5" t="inlineStr">
        <is>
          <t>8차시 계획표, 다짐 미기재</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개인(with 칸 비움)
핵심 탐구 질문: 호흡을 하면서 공기가 들어오고 나갈 때 어떤 기관과 통로를 지나가는가?
하위 질문 ①: 들숨을 할 때 공기는 어떤 기관과 통로를 순서대로 지나가는가?
하위 질문 ②: 각 호흡기관은 공기가 이동하는 과정에서 어떤 역할을 할까?
하위 질문 ③: 날숨을 할 때 공기는 어떤 경로를 거쳐 몸 밖으로 나가는가?
활용할 자료원: 국가건강정보포털, 서울대 의학정보, 교과서</t>
        </is>
      </c>
      <c r="E16" s="5" t="inlineStr">
        <is>
          <t>호흡 경로를 들숨 → 기관별 역할 → 날숨 순서로 정리해 질문 구조는 명확함. 다만 교과서 수준의 사실 확인에 가까워, 간호 진로와 연결되는 탐구 요소(예: 호흡기 질환 환자 간호)를 더하도록 안내하면 좋겠음.</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5개 수집(지식백과 2, 사이언스올 3)
① 지식백과(호흡운동): 근육이 없는 폐는 여러 개를 둘러싼 횡격막과 갈비뼈에 의해 호흡운동이 일어난다.
② 지식백과(호흡기관): 호흡기관은 기도·허파·호흡근·가슴우리로 이루어지고, 가스교환은 허파의 가장 끝인 허파꽈리 공간에서 폐포와 모세혈관막을 통해 일어난다.
③ 사이언스올: 날숨은 폐(허파)의 폐포 속 모세혈관 안에서 가스교환, 들숨은 반대로 진행(일부 판독 추정).
④ 사이언스올: 호흡은 공기가 코를 지나 폐로 도달 — 비강→인두→후두→기관→기관지로 이동.
⑤ 사이언스올: 들숨과 날숨 비교 — 들숨: 갈비뼈 올라감, 가로막 내려감, 흉강 부피 커짐, 폐 내부 압력 감소 / 날숨: 반대(내려감·올라감·작아짐·압력 증가).
나의 생각/메모: 생각보다 '호흡'이라는 것은 각각의 호흡기관을 종합하는 것임을 알았다.</t>
        </is>
      </c>
      <c r="E17" s="5" t="inlineStr">
        <is>
          <t>P-2 주제(호흡 과정과 호흡기 구조)에 맞게 호흡운동→호흡기관→공기 이동 경로→들숨·날숨 비교로 자료 순서를 짜서 체계적임. 5번 자료는 표로 정리해 비교함. 출처는 사이트명만 있고 항목 제목이 없음.</t>
        </is>
      </c>
      <c r="F17" s="5" t="inlineStr">
        <is>
          <t>일부 요약 판독 추정</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10819 이지웅)</t>
        </is>
      </c>
    </row>
    <row r="2" ht="48" customHeight="1">
      <c r="A2" s="2" t="inlineStr">
        <is>
          <t>※ 활동지 스캔본(PDF)을 바탕으로 정리. 필체 판독이 어렵거나 학생이 미기재한 항목은 '판독 어려움/미기재'로 표기함. 1학기 스캔본(8쪽)에는 1-1, 1-4, 1-7, 최종(미기재)만 있고 1-2, 1-3, 1-5, 1-6, 1-8 활동지는 포함되어 있지 않음. 2-2 학급 스캔본에도 이 학생의 활동지가 없음.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'나는 일본에 간 적이 있다 / 나는 농구선수가 꿈이다(가짜) / 나의 혈액형은 B형이다', '나는 티모 장인이다(가짜) / 나는 밥을 많이 먹는다 / 나는 게임을 자주 한다', '나는 강서고다 / 나는 고기가 좋다 / (친구 이름)을 사랑한다(가짜)'
질문지: 자신 있게 말할 수 있다·상담 경험 → '그렇지 않다', 노력하고 있다·가족과 이야기 → '보통', 필요한 공부를 안다 → '그렇다'
상담 상대: 부모나 친척 / 진로 결정 시 중요: 학업 성적 / 정보 탐색: 인터넷
노력: 흥미와 적성을 찾기 위한 비교·활동 참여 / 어려운 점: 나의 특성을 몰라서 / 진로수업에 바라는 것: '없음'
약속: 미체크 / 깨달은 점: 미기재 / 다섯 글자: '공부 힘들다'</t>
        </is>
      </c>
      <c r="E5" s="5" t="inlineStr">
        <is>
          <t>진로 결정 요인으로 '학업 성적'을 꼽고, 다짐을 '공부 힘들다'로 적음 — 학업 부담이 드러남.</t>
        </is>
      </c>
      <c r="F5" s="5" t="inlineStr">
        <is>
          <t>퀴즈 정답, 약속, 깨달은 점 미기재</t>
        </is>
      </c>
    </row>
    <row r="6" ht="60"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이번 스캔본에 이 차시 활동지가 포함되어 있지 않음</t>
        </is>
      </c>
      <c r="E6" s="5" t="inlineStr">
        <is>
          <t>미제출 또는 스캔 누락 여부 확인 필요.</t>
        </is>
      </c>
      <c r="F6" s="5" t="inlineStr">
        <is>
          <t>활동지 없음(원본 확인 필요)</t>
        </is>
      </c>
    </row>
    <row r="7" ht="60"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이번 스캔본에 이 차시 활동지가 포함되어 있지 않음</t>
        </is>
      </c>
      <c r="E7" s="5" t="inlineStr">
        <is>
          <t>미제출 또는 스캔 누락 여부 확인 필요.</t>
        </is>
      </c>
      <c r="F7" s="5" t="inlineStr">
        <is>
          <t>활동지 없음(원본 확인 필요)</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①원만성(넬슨 만델라 / 국제 통상 전문가·외교관·인사 전문가) ②도덕성(임마누엘 칸트 / 의약품 인허가 전문가·판사) ③창의성(장영실 / 가상현실 전문가·웹툰작가)
핵심 강점 칸: '호기심'(활동지 예시 문구와 같음) — 연관 단어: 아인슈타인, 모험, 이순신, 호기, 만화, 실험, 장난 등 / 강화 방안: 판독 어려움
MIT 희망 전공: 건축·토목, 사회·심리, 기계·조선·항공 / 추천 전공: 전기·전자·컴퓨터, 미술·디자인, 유아·특수교육 (관련 직업·학과 칸에는 희망 전공 쪽 직업·학과를 적음: 건축공학기술자·도시계획설계가, 사회연구원·심리학연구원, 로봇기술공학·항공공학 등)
가장 선호하는 계열: 예체능
불일치 이유: '비슷한 거 같다'
선호 직무 유형: 예술가형 / 직업 가치: 사회적 인정, 안정성, 사회봉사</t>
        </is>
      </c>
      <c r="E8" s="5" t="inlineStr">
        <is>
          <t>희망 전공과 추천 전공이 하나도 겹치지 않는데 '비슷한 거 같다'고 적음. 핵심 강점도 본인 강점 3개가 아닌 예시 문구(호기심)를 그대로 적어 활동 취지 확인이 필요함.
학번 칸에 다른 번호를 지우고 10819로 고친 흔적 있음.</t>
        </is>
      </c>
      <c r="F8" s="5" t="inlineStr">
        <is>
          <t>강화 방안 판독 어려움, 불일치 이유 분석 부족</t>
        </is>
      </c>
    </row>
    <row r="9" ht="60"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이번 스캔본에 이 차시 활동지가 포함되어 있지 않음</t>
        </is>
      </c>
      <c r="E9" s="5" t="inlineStr">
        <is>
          <t>미제출 또는 스캔 누락 여부 확인 필요.</t>
        </is>
      </c>
      <c r="F9" s="5" t="inlineStr">
        <is>
          <t>활동지 없음(원본 확인 필요)</t>
        </is>
      </c>
    </row>
    <row r="10" ht="60"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이번 스캔본에 이 차시 활동지가 포함되어 있지 않음</t>
        </is>
      </c>
      <c r="E10" s="5" t="inlineStr">
        <is>
          <t>미제출 또는 스캔 누락 여부 확인 필요.</t>
        </is>
      </c>
      <c r="F10" s="5" t="inlineStr">
        <is>
          <t>활동지 없음(원본 확인 필요)</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방송영상과·방송제작과 / 관심 대학: 한양대
학과 개요: 영상 제작이 핵심 분야로 기획·연출·촬영·편집·시나리오 등을 배움
적성 연결: '고등학생 때 처음 방송부를 접해 경험 쌓음'
고교 관련 과목: 국어, 사회, 생활·교양 / 대학 주요 교과목: 방송학개론, 영상연출론, 영화사
자격증: 무대예술전문인, 컴퓨터그래픽스 / 진출 분야: 언론사, 영화 제작사 / 전망: 취업률 73%
지금 노력할 것: '관련 학과에 대해서 더 찾아보고 고등학교 방송부 일을 하며 경험 더 쌓기'</t>
        </is>
      </c>
      <c r="E11" s="5" t="inlineStr">
        <is>
          <t>방송부 활동을 근거로 방송영상 분야를 탐색함 — 1-4 검사 결과(건축·기계, 미술·디자인)와는 연결이 약함.
2인 1조 활동으로 10817 이건민과 탐색 내용이 거의 같아, 본인의 관심인지 상담 시 확인 필요.</t>
        </is>
      </c>
      <c r="F11" s="5" t="inlineStr">
        <is>
          <t>-</t>
        </is>
      </c>
    </row>
    <row r="12" ht="60"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이번 스캔본에 이 차시 활동지가 포함되어 있지 않음</t>
        </is>
      </c>
      <c r="E12" s="5" t="inlineStr">
        <is>
          <t>미제출 또는 스캔 누락 여부 확인 필요.</t>
        </is>
      </c>
      <c r="F12" s="5" t="inlineStr">
        <is>
          <t>활동지 없음(원본 확인 필요)</t>
        </is>
      </c>
    </row>
    <row r="13" ht="60"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학번·이름을 포함해 전 항목 미기재(뒷면 과목 선택 점검 안내문만 있음)</t>
        </is>
      </c>
      <c r="E13" s="5" t="inlineStr">
        <is>
          <t>1학기 최종 진로 목표와 과목 선택 설계가 전혀 없음 — 과목 선택 전 개별 상담이 꼭 필요함.</t>
        </is>
      </c>
      <c r="F13" s="5" t="inlineStr">
        <is>
          <t>전 항목 미기재(학번·이름 없으나 본인 스캔본에 포함되어 본인 것으로 판단)</t>
        </is>
      </c>
    </row>
    <row r="14" ht="6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이번 2-2 스캔본(22쪽)에 이 학생의 활동지가 없음</t>
        </is>
      </c>
      <c r="E14" s="5" t="inlineStr">
        <is>
          <t>결석 또는 미제출 여부 확인 필요.</t>
        </is>
      </c>
      <c r="F14" s="5" t="inlineStr">
        <is>
          <t>활동지 없음(원본 확인 필요)</t>
        </is>
      </c>
    </row>
    <row r="15" ht="13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체크 없음
선택 이유 칸: '공부를 열심히 한다'만 기재
A·B·C 트랙별 아이디어, 8차시 계획, 다짐·자가점검: 모두 미기재</t>
        </is>
      </c>
      <c r="E15" s="5" t="inlineStr">
        <is>
          <t>트랙 선택 이유 칸에 트랙과 관계없는 한 문장만 적고 나머지를 비움 — 1학기 최종 활동지가 전 항목 미기재였던 것과 비슷한 패턴.
다만 2차시에는 주제탐구 계획서를 충실히 작성함(P-2 참고).</t>
        </is>
      </c>
      <c r="F15" s="5" t="inlineStr">
        <is>
          <t>트랙 선택 체크 없음
선택 이유 외 전 항목 미기재</t>
        </is>
      </c>
    </row>
    <row r="16" ht="222"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개인(주제탐구 활동지 작성)
핵심 탐구 질문: 농구 감독의 컨디션에 따라 그 팀의 전략이 달라져 경기에서 질 수 있는지
하위 질문 ①: 농구 감독은 경기 중 선수 교체와 작전 등을 어떻게 결정하는가?
하위 질문 ②: 좋은 농구 감독이 되기 위해서는 어떤 능력과 자질이 필요한가?
하위 질문 ③: 농구 감독은 경기와 훈련에서 어떤 역할과 책임을 맡는가?
활용할 자료원: 농구 경기 영상, 경기 해설 자료, 감독 인터뷰 및 전술 자료</t>
        </is>
      </c>
      <c r="E16" s="5" t="inlineStr">
        <is>
          <t>1차시에 트랙을 고르지 않았지만 2차시 주제탐구 활동지는 모든 칸을 채워 제출함 — 트랙이 주제탐구로 정해진 것으로 보임.
1-1 진진가에 적었던 농구에 대한 관심이 탐구 주제로 등장함(1학기 탐색 학과였던 방송영상과와는 다른 방향).
핵심 질문(감독 컨디션 → 전략 → 승패)과 하위 질문(감독의 역할·자질)의 초점이 조금 어긋나 조정이 필요함.</t>
        </is>
      </c>
      <c r="F16" s="5" t="inlineStr">
        <is>
          <t>하위 질문 ③을 자료원 칸에 한 번 더 적음</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활동지를 제출했으나 자료 출처 ①~⑤, 핵심 내용 요약 ①~⑤, 나의 생각/메모가 모두 비어 있음.</t>
        </is>
      </c>
      <c r="E17" s="5" t="inlineStr">
        <is>
          <t>P-2에서는 모든 칸을 채웠던 학생(농구 감독 주제)이 이번에는 완전한 빈 활동지를 냄 — 자료 조사를 아예 하지 못했는지 확인 필요.</t>
        </is>
      </c>
      <c r="F17" s="5" t="inlineStr">
        <is>
          <t>전 항목 미기재</t>
        </is>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10820 장승빈)</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2
자기소개 진진가: '난 어릴 때 강서고에 와 봤다(가짜) / 난 강아지를 키운다 / 난 체육복이 없다', '나는 롤 티어가 골드다(가짜) / 난 컴이 있다 / (친구를 향한 장난 문장)', '난 발로 타격 원펀맨이다 / (특정 친구가 싫다는 문장) / 난 학원을 다닌다'
질문지: 자신 있게 말할 수 있다 → '그렇다', 노력하고 있다·필요한 공부를 안다 → '보통', 가족과 이야기·상담 경험 → '그렇지 않다'
상담 상대: 선배나 친구 / 진로 결정 시 중요: 나의 소질과 적성 / 정보 탐색: 인터넷
노력: 틈틈이 정보 수집 / 어려운 점: 나의 특성을 몰라서
진로수업에 바라는 것: '고교학점제에 대해서 알려주세요'
약속·깨달은 점·다섯 글자 다짐: 미기재</t>
        </is>
      </c>
      <c r="E5" s="5" t="inlineStr">
        <is>
          <t>고교학점제에 대해 알고 싶다고 적는 등 과목 선택에 관심을 보임.
자기소개 진진가에 특정 친구를 향한 부정적 문장이 섞여 있음(장난일 가능성, 참고).</t>
        </is>
      </c>
      <c r="F5" s="5" t="inlineStr">
        <is>
          <t>약속, 깨달은 점, 다섯 글자 다짐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작성: 정시=수능, 학생부교과/학생부종합, 수능 최저, 5등급제·상위 10%, 지필+수행, 수행평가, 192학점, 희망 진로, 1학년 여름방학, 과정, 세부능력 및 특기사항, 수업에 적극적으로 참여, 자율·동아리·행동특성 및 종합의견, 공통·통합사회/통합과학, 내신·생기부, 역전, 주도성
활동 후 다짐: 미기재</t>
        </is>
      </c>
      <c r="E6" s="5" t="inlineStr">
        <is>
          <t>영상 핵심 내용을 빠짐없이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1등급 28등, 2등급 94등, 3등급 183등, 4등급 249등(계산식까지 모두 정확)
100점 동점자 50명 → 전원 2등급 / 대학이 깊게 보는 항목 → 과목별 세부능력 및 특기사항(세특) / 세특 확인 → 2학년 진급 후 확인 가능
1등급 28명에 대한 느낀 점: 미기재
목표 점수: 국어 91, 수학 84, 영어 82, 한국사 89, 통합사회 85, 통합과학 86
시험 계획: 6과목 모두 날짜별로 작성 — 수학(1~3단원 복습, 스스로 해결하기, 심화 문제), 영어(1·2과 본문·단어 외우기), 국어(작품별 필기, 파수꾼 복습), 한국사(조선 전기·후기 복습), 통합사회(관련 이름·뜻 외우기), 통합과학(규산염, 원소기호 20번까지·스펙트럼, 행성 형성 과정, 생명 관련 외우기)</t>
        </is>
      </c>
      <c r="E7" s="5" t="inlineStr">
        <is>
          <t>계산·문항 모두 정답. 목표 점수를 과목별로 세분화했고 6과목 계획을 구체적으로 세움.</t>
        </is>
      </c>
      <c r="F7" s="5" t="inlineStr">
        <is>
          <t>느낀 점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①도덕성(임마누엘 칸트 / 의약품 인허가 전문가) ②신중성(제갈공명 / 스마트 재난관리 전문가) ③개방성(파블로 피카소 / 글로벌 홍보 전문가)
핵심 강점: 개방성 — 연관 단어: 정반대, 융합적 사고, 파블로 피카소, 가능성, 열린 마음, 개방적인 사고, 이해, 포용 / 강화 방안: '존중하는 사고방식'
MIT 희망 전공: 음악, 경영·경제, 전기·전자·컴퓨터 / 추천 전공: 음악(연주가·지휘자·작곡가·가수·성악가 / 작곡과·기악과·실용음악과), 경영·경제(회계사·세무사·투자분석가 / 경제학과·경영학과·유통학과), 미술·디자인(제품디자이너·화가·웹디자이너 / 서양화과·동양화과·미술학과)
가장 선호하는 계열: 예체능계열
불일치 이유: X 표시
선호 직무 유형: 아이디어형 / 직업 가치: 경제적 풍족, 안정성, 사회적 인정</t>
        </is>
      </c>
      <c r="E8" s="5" t="inlineStr">
        <is>
          <t>희망·추천 전공이 음악, 경영·경제에서 일치. 이 단계에서는 수학 관련 전공이 등장하지 않음.</t>
        </is>
      </c>
      <c r="F8" s="5" t="inlineStr">
        <is>
          <t>불일치 이유 X 표시</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게임프로그래머(프로그래밍으로 맵 디자인·캐릭터 디자인·사운드·그래픽 시스템을 통합해 게임을 만드는 일 / 해당 분야 지식·공부하는 자세·수학적 지식 / 게임공학과·응용소프트웨어공학과·컴퓨터공학과 등), 작곡가(자신이 만든 곡을 연주할 악기·반주 편곡, 녹음 과정 조언 / 음악을 좋아하고 즐기는 태도·감성 표현 능력 / 실용음악과·작곡과), 수학교사(중·고등학생에게 수학 원리를 가르침 / 수학적 재능·설명능력 / 수학교육과·수학과·수학통계과), 초등교사(초등 전 과목 교육, 바른 인성과 품성 지도 / 교육역량·책임감·인내심 / 초등교육과·교육대학교)
토너먼트: 결승 게임프로그래머 vs 수학교사 → 최종 '수학교사'
선택 이유: '안정한 직업과 사회적 인정 O' / 게임프로그래머 선택 이유: '내가 게임을 만드는 데에 재미를 느낄 것 같아서' / 수학교사 선택 이유: '수학을 가르치는 데에 보람을 느낄 것 같아서' / 포기 이유: '도박성 직업과 사회적 인정 X'
가치관 점검: '경제적 풍족을 원한다면 연봉 높은 회사가 수학교사보다 나을 수도 있지만 안정성과 사회적 인정은 매우 만족'</t>
        </is>
      </c>
      <c r="E9" s="5" t="inlineStr">
        <is>
          <t>직업 가치(안정성·사회적 인정)를 기준으로 게임프로그래머와 수학교사를 비교해 결정함 — 가치관 점검을 스스로 구체적으로 수행.
4차시 검사 결과(음악·경영)와는 다른 수학 분야로 진로가 형성됨.</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작곡가(5차시 최고 관심 직업과 다름)
AI 대체 가능: 기능성 BGM 및 배경음악 양산, 초기 스케치 및 비트 메이킹, 기술적 오디오 편집 / 협업: 레퍼런스 분석 및 아이디어 빌드업, 글로벌 현지화 및 보컬 가이드 작업 / 대체 불가: 트렌드를 파괴하는 '독창적인 예술적 시도', 인간의 경험과 서사의 결합
체크: 'AI가 못 하는 부분이 생각보다 많았다'
새로 알게 된 점: 'AI를 활용해 남들보다 10배 빠르게 곡을 짜고, 거기에 나만의 독창적인 감성과 이야기를 한 스푼 얹는 능력'
키울 역량: 감성 지능(AI가 감성을 모르기 때문), 창의적 사고(AI로는 생각 못 할 사고), 경험(AI가 못 따라오는 직접적인 경험)
지금 시작할 준비: '공부하기'
모둠(사서·역사교수·작곡가·펀드매니저) 공통 결론: 미기재</t>
        </is>
      </c>
      <c r="E10" s="5" t="inlineStr">
        <is>
          <t>5차시엔 수학교사를 골랐지만 이 차시에서는 작곡가로 분석함 — 음악에 대한 관심이 꾸준히 이어짐(1-4 희망·추천 1순위 음악).
AI와 협업하는 창작 방식을 구체적으로 이해함.</t>
        </is>
      </c>
      <c r="F10" s="5" t="inlineStr">
        <is>
          <t>미래 명함, 모둠 공통 결론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수학교육과 / 관심 대학: 한양대학교
학과 개요: 교육 전문가 양성을 목표로 교사로서 갖춰야 할 지식을 위한 해석학·대수학·기하학·위상수학·확률통계학을 공부
적성 연결: '수학을 대하는 데 뿌듯함을 느낌 → 학생들에게 수학을 이해시킴'
고교 관련 과목: 수학, 기술·가정·정보, 사회 / 대학 주요 교과목: 교육학개론, 이산수학, 논리와 비판적 사고, 대수학, 고급위상학
자격증: 평생교육사, 세무사, 변리사 / 진출 분야: 중·고등학교, 학습지 및 교재 개발업체 / 전망: 취업률 55%
지금 노력할 것: '수학을 열심히 공부한다'</t>
        </is>
      </c>
      <c r="E11" s="5" t="inlineStr">
        <is>
          <t>모든 칸을 채웠고 대학 교과목을 구체적으로 조사함. 5차시 수학교사와 일관.</t>
        </is>
      </c>
      <c r="F11" s="5" t="inlineStr">
        <is>
          <t>-</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70%+교과 관련 영역 서류종합평가 30%, 최저 X / 종합 1단계 서류종합평가 100%, 2단계 면접 40%+1단계 성적 60%, 최저 X / 논술 학생부 30%(교과 20%·출결 10%)+논술 70%, 최저 O / 정시 수능 80%+학생부평가 20%, 최저 X
반영 교과: 국어·수학·영어·사회·과학 / 반영 과목 수: 공통과목을 제외한 성취도와 석차등급이 병기되는 상위 10과목 / 반영 방법: 3학년 1학기까지 반영(논술 동일)
전형별 준비도: 학생부교과 ★3, 학생부종합 ★1, 논술 ★2, 실기/실적 ★1, 정시 ★2
도전 전형·선택 이유: 미기재</t>
        </is>
      </c>
      <c r="E12" s="5" t="inlineStr">
        <is>
          <t>모집요강과 반영 방법까지 정확히 채우고, 학급에서 드물게 본인 준비도 별점까지 매김 — 학생부교과(★3)를 가장 자신 있게 평가함.</t>
        </is>
      </c>
      <c r="F12" s="5" t="inlineStr">
        <is>
          <t>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'개발자' → '완전히 바뀜' / 희망 학과 수학과 → '그대로 유지' / 목표 대학·계열 한양대·수학과 → '그대로 유지'
이유: '수학이 그나마 할 만해서'
최종 진로 목표: 수학 / 수학 관련 / 수학과, 수학교육과 / 한양대
과목 설계: 수학(진로 그 자체) 기하·인공지능 수학(진로) / 영어(기본으로) 미디어 영어 / 사회(교육하면) 세계사·정치(진로) / 과학(진로 바탕에 필요) 물리학·지구과학 / 기타 제2외국어 / 국어 X
수시 관심: 학생부 종합 / 정시: 미체크 / 2학기 집중 과제: '내신 챙기기'
2학기 다짐: '수행 잘 챙기고 수업 잘 듣고 정기시험 잘 보자'</t>
        </is>
      </c>
      <c r="E13" s="5" t="inlineStr">
        <is>
          <t>1-5 수학교사 → 1-7 수학교육과 → 최종 수학과·수학교육과로 수학 분야는 일관됨. 다만 최종에서 5차시 직업을 '개발자'로 회상하고(실제 1-5는 수학교사), 희망 직업을 '수학 관련'으로 넓게 적어 교사 vs 수학 연구·개발 방향이 아직 열려 있음.
유지 이유가 '수학이 그나마 할 만해서'로 소극적 — 음악(1-4·1-6)에 대한 관심과 함께 상담 시 확인 권장.
1-8에서 학생부교과 준비도를 가장 높게 매겼으나 최종에선 학생부종합을 관심 전형으로 체크함.</t>
        </is>
      </c>
      <c r="F13" s="5" t="inlineStr">
        <is>
          <t>국어 과목 설계, 정시 관심 전형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첨단융합학부
학업역량 C&gt;B&gt;A — 이유: 이수 과목 수와 성적이 우수하고, 각 수업에서 학과와 관련된 주제를 표현했기 때문
진로역량 B&gt;C&gt;A — 이유: 학과에 걸맞은 이수 과목과 진로 목적에 알맞은 활동을 함
공동체역량 C&gt;B&gt;A — 이유: 공동체 활동에는 충분한 협력과 의사소통이 필요하기 때문(일부 판독 어려움)
예상 C-B-A → 결과 A-C-B
느낀 점: 합격한 생기부 사이에도 차이가 존재한다는 것을 알게 되었다
배운 점: '열심히 살자'</t>
        </is>
      </c>
      <c r="E14" s="5" t="inlineStr">
        <is>
          <t>이수 과목과 학과의 연결을 근거로 진로역량을 판단함.</t>
        </is>
      </c>
      <c r="F14" s="5" t="inlineStr">
        <is>
          <t>공동체역량 이유 일부 판독 어려움</t>
        </is>
      </c>
    </row>
    <row r="15" ht="250"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진로독서(신주원과 짝)
선택 이유: 아직 진로가 확실하지 않아서 진로에 대한 책을 읽어보고 정하고 싶어서
[A 주제탐구 칸] 관심 분야에 '수학'(판독 추정)을 적었다가 지움
진로독서 이유: 책을 통해 관심 분야에 있는 직업을 찾고 싶어서
도서 선정 기준: ①쉬운 책 ②관심 분야 ③전문가가 쓴 책
읽고 싶은 후보 도서: 『다정한 물리학』
8차시 계획: 2차시 독서(산출물: 책 내용 습득) → 3차시 독서 → 4차시 감상평·독서기록(필요한 내용 생각하기) → 5차시 독서 정리(필요한 내용 정리) → 6차시 발표자료 준비·독서 정리(발표자료 1/4) → 7차시 발표자료 준비(발표자료 3/4)
다짐: '8차시 동안 완성을 목표로 열심히 하겠다' / 자가점검 3항목 체크</t>
        </is>
      </c>
      <c r="E15" s="5" t="inlineStr">
        <is>
          <t>1학기 최종(개발자·수학과, '수학이 그나마 할 만해서')에 이어 '아직 진로가 확실하지 않다'고 적음.
발표자료 진행률(1/4 → 3/4)까지 계획해 계획성이 좋음.</t>
        </is>
      </c>
      <c r="F15" s="5" t="inlineStr">
        <is>
          <t>A칸 지운 부분 판독 추정</t>
        </is>
      </c>
    </row>
    <row r="16" ht="124" customHeight="1">
      <c r="A16" s="4" t="inlineStr">
        <is>
          <t>P-2</t>
        </is>
      </c>
      <c r="B16" s="5" t="inlineStr">
        <is>
          <t>진로 프로젝트 2차시(진로독서): 도서 선정</t>
        </is>
      </c>
      <c r="C16" s="5" t="inlineStr">
        <is>
          <t>진로독서의 필요성 생각 → 도서 선정 기준(관심 분야·난이도·최신성 등) 정리 → 후보 도서 3권 비교 → 최종 1권 선정과 이유</t>
        </is>
      </c>
      <c r="D16" s="5" t="inlineStr">
        <is>
          <t>탐구 형태: 신주원(10815)과 함께
진로독서 이유: 진로가 명확하지 않고, 진로를 통합적으로 보는 것이 좋을 것 같아서
도서 선정 기준: 난이도가 쉽고 문·이과가 통합된 책
후보 도서: 『다정한 물리학』 1권만 기재
최종 선정 도서: 『다정한 물리학』
선정 이유: 경력이 뛰어난 사람이 썼기 때문에 건질 게 있다고 생각해서</t>
        </is>
      </c>
      <c r="E16" s="5" t="inlineStr">
        <is>
          <t>1차시에 적은 후보 도서를 그대로 최종 선정 — 수학·이과 관심과 연결됨. 짝 신주원과 같은 책.
후보 3권 비교 단계를 생략함.</t>
        </is>
      </c>
      <c r="F16" s="5" t="inlineStr">
        <is>
          <t>후보 도서 ②③ 미기재</t>
        </is>
      </c>
    </row>
    <row r="17" ht="210" customHeight="1">
      <c r="A17" s="4" t="inlineStr">
        <is>
          <t>P-3</t>
        </is>
      </c>
      <c r="B17" s="5" t="inlineStr">
        <is>
          <t>진로 프로젝트 3차시(진로독서): 독서 전 활동 및 독서 활동 시작</t>
        </is>
      </c>
      <c r="C17" s="5" t="inlineStr">
        <is>
          <t>제목·표지를 보고 내용 예상하기 → 목차 중 가장 궁금한 부분 정하기 → 이 책을 통해 알고 싶은 것 미리 적기</t>
        </is>
      </c>
      <c r="D17" s="5" t="inlineStr">
        <is>
          <t>[진로독서] 『다정한 물리학』(짝: 신주원) — 독서 범위 0~56쪽
· 제목/표지를 보고 예상한 내용: '물리학의 문과적 통합, 물리학에 대한 내용'
· 목차 중 가장 궁금한 부분: '무에서 시작하는 사과파이 조립법' — 아무것도 없이 어떻게 사과파이를 만드는지 궁금하다.
· 이 책을 통해 알고 싶은 것: 물리학의 기원, 어떤 이유로 이 책이 문·이과 통합의 책으로 불리는가.</t>
        </is>
      </c>
      <c r="E17" s="5" t="inlineStr">
        <is>
          <t>'문·이과 통합'이라는 표지 소개를 확인하는 질문을 세움. 3칸을 모두 채웠으나 책 내용 자체에 대한 호기심 중심이며 본인 진로와의 연결은 적지 않음. 짝 신주원과 같은 장(사과파이)을 골랐지만 읽을 범위 표기가 다름.</t>
        </is>
      </c>
      <c r="F17" s="5" t="inlineStr">
        <is>
          <t>활동지 이름란에 '신주원(짝)'을 함께 적음</t>
        </is>
      </c>
    </row>
  </sheetData>
  <mergeCells count="2">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10821 장준혁)</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P-2 스캔본에 함께 들어 있던 1차시 활동지 보완본(다시 작성한 앞장)은 P-1 행에 합쳐 정리함. P-3(3차시: 주제탐구 자료 수집 / 진로독서 독서 전 활동 / 습관형성 1주차 기록표) 학급 스캔본을 추가 반영함. P-3 활동지 여백에 새로 적은 탐구 주제·질문(2차시 보완 내용)은 P-2 행에 합쳐 정리함.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미기재
자기소개 진진가: '나는 혈액형이 A형이다 / 나는 영어를 좋아한다 / 나는 누나가 있다'(가짜 3번)
질문지: 자신 있게 말할 수 있다 → '그렇지 않다', 노력하고 있다·가족과 이야기·필요한 공부를 안다 → '보통', 상담 경험 → '그렇다'(체크 중복)
상담 상대: 교사, 학원 강사, 부모나 친척, 선배나 친구 / 진로 결정 시 중요: 나의 소질과 적성 / 정보 탐색: 유튜브
노력(기타): '아직 진로를 못 정했지만 공부만 열심히 하려 한다' / 어려운 점: 나의 특성을 몰라서
진로수업에 바라는 것: '나의 적성에 맞는 일'
약속: ★집중 — '활동에 집중해야지 잘 배울 수 있다'
깨달은 점: '진로를 빨리 정하는 게 좋겠다' / 다섯 글자: '대학꼭가자'</t>
        </is>
      </c>
      <c r="E5" s="5" t="inlineStr">
        <is>
          <t>입학 초 진로 미결정 상태에서 '공부만 열심히 하려 한다'고 적음. 이 시점엔 태권도 관련 언급이 없음.</t>
        </is>
      </c>
      <c r="F5" s="5" t="inlineStr">
        <is>
          <t>퀴즈 정답 미기재</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1~4번 일부 작성: 정시=수능, 학생부교과/학생부종합, 수능 최저학력, 5등급제·상위 10%, 지필+수행, 수행평가, 192학점, 희망 진로, 1학년 여름방학, 과정
4번 후반(세특·세특 태도)~8번: 미기재</t>
        </is>
      </c>
      <c r="E6" s="5" t="inlineStr">
        <is>
          <t>앞부분만 작성하고 학생부 종합·창체·정시 변화 부분은 비어 있음.</t>
        </is>
      </c>
      <c r="F6" s="5" t="inlineStr">
        <is>
          <t>4번 일부~8번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27.7·94.18·182.82·249.3·277을 적고 최종 28·94·183·249등으로 정확히 기재
3번(동점자 등급·세특·세특 확인 시기), 느낀 점: 미기재
목표 점수: 국어 50, 수학 70, 영어 100, 한국사 50, 통합사회 50, 통합과학 50
시험 계획표: 전부 미기재</t>
        </is>
      </c>
      <c r="E7" s="5" t="inlineStr">
        <is>
          <t>계산은 정확. 목표 점수에서 영어만 100점으로 두드러지고 나머지는 50점 — 1-1 '영어를 좋아한다', 1-5 영어 학원강사 관심과 연결됨.
시험 계획은 비어 있음.</t>
        </is>
      </c>
      <c r="F7" s="5" t="inlineStr">
        <is>
          <t>3번 문항, 느낀 점, 시험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①원만성(넬슨 만델라 / 국제 통상 전문가·외교관) ②호기심(알베르트 아인슈타인 / 로봇 공학자·과학자) ③개방성(파블로 피카소 / 글로벌 홍보 전문가)
핵심 강점: 호기심 — 연관 단어: 장난, 우주, 자연, 실험, 관찰, 창의, 도전, 모험 / 강화 방안: '다양한 경험 하기', '궁금한 점 많이 찾기'
MIT 희망 전공: 무용·체육, 초·중등교육, 외국어 문학 / 추천 전공: 외국어 문학(외국어 강사 / 영어영문학과), 무용·체육(스포츠 감독 / 체육학과), 초·중등교육(중·고등학교 교사 / 교육학과)
가장 선호하는 계열: 교육계열
불일치 이유: 미기재(순서만 다르고 3개 모두 일치)
선호 직무 유형: 글로벌형 / 직업 가치: 경제적 풍족, 안정성, 사회적 인정</t>
        </is>
      </c>
      <c r="E8" s="5" t="inlineStr">
        <is>
          <t>희망·추천 전공 3개(체육, 교육, 외국어)가 모두 일치 — 이후 스포츠 강사·영어 학원강사·태권도로 이어지는 관심이 이 차시에 모두 드러남.</t>
        </is>
      </c>
      <c r="F8" s="5" t="inlineStr">
        <is>
          <t>-</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3개(4번째 칸 비어 있음): 스포츠 강사(공공 또는 민간 체육시설에서 사람들을 대상으로 건강 유지와 증진, 태권도 등 가르침 / 신체운동능력 / 체육교육과), 학원강사(여러 연령층의 사람들에게 다양한 교육적 요구·지식과 기술 가르침 / 대인관계능력 / 영어교육과), 인문계 중등학교 교사(교과목을 가르치고 지도, 시험 출제·평가 / 자기성찰능력·언어능력 / 영어교육과)
토너먼트: 결승 스포츠강사 vs 학원강사 → 최종 '학원강사'(처음 '스포츠 강사'를 적었다가 줄 긋고 수정)
선택 이유: '영어가 재밌어서 영어 강사 되고 싶다' / 스포츠강사 선택 이유: '운동이 좋아서' / 포기 이유: '운동으로 돈을 잘 못 벌 거 같아서'
AI 관련 정도: '학원강사 연구·분석 능력을 활용할 수 있고 안정성, 경제적 보상을 모두 얻을 수 있다'</t>
        </is>
      </c>
      <c r="E9" s="5" t="inlineStr">
        <is>
          <t>최종 선택을 스포츠강사에서 영어 학원강사로 고친 흔적이 있음 — 운동과 영어 사이에서 고민한 과정이 드러남. 포기 이유로 '운동으로 돈을 잘 못 벌 것 같다'를 적음(직업 가치 1순위 경제적 풍족과 일치).</t>
        </is>
      </c>
      <c r="F9" s="5" t="inlineStr">
        <is>
          <t>관심 직업 4번째 칸 미기재
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직업명 칸: 미기재(작성 내용상 개발 분야로 보임)
AI 대체 가능: '문법 테스트 자동 생성' / 협업: '수준별 지문 생성' / 대체 불가: '실패 경험'(각 1개씩, 일부 판독 어려움)
체크·놀란 점: 미기재
키울 역량: 공감 능력(AI는 공감이 부족하다), 창의적 사고·감성 지능(이유는 '〃')
준비 1가지, 미래 명함, 모둠 토론: 전부 미기재</t>
        </is>
      </c>
      <c r="E10" s="5" t="inlineStr">
        <is>
          <t>AI 분석을 1개씩만 적고 대부분 비워 둠. 작성한 항목(문법 테스트·수준별 지문)은 영어 학원강사와 연결되는 내용으로 보임.</t>
        </is>
      </c>
      <c r="F10" s="5" t="inlineStr">
        <is>
          <t>직업명, 체크, 놀란 점, 준비, 명함, 모둠 토론 미기재
AI 분석 일부 판독 어려움</t>
        </is>
      </c>
    </row>
    <row r="11" ht="80"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태권도학과 / 관심 대학: 가천대
학과 개요·적성 연결·관련 과목·대학 교과목·자격증·진출 분야·전망·다짐: 전부 미기재</t>
        </is>
      </c>
      <c r="E11" s="5" t="inlineStr">
        <is>
          <t>이 차시부터 '태권도학과'가 처음 등장했지만 학과 조사 내용은 비어 있음 — 1-5 영어 학원강사에서 진로 방향이 바뀐 시점.</t>
        </is>
      </c>
      <c r="F11" s="5" t="inlineStr">
        <is>
          <t>학과명·대학 외 전 항목 미기재</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70%+교과 관련 영역 서류종합평가 30%, 최저 X / 종합 1단계 서류종합평가 100%, 2단계 면접 40%+1단계 성적 60%, 최저 X / 논술 일괄: 학생부 30%(교과 20%·출결 10%), 최저 O / 정시 수능 80%+학생부평가 20%, 최저 X
반영 교과: 국어·수학·영어·사회·과학 등 / 반영 과목 수: 상위 10과목, 논술은 공통과목 제외 상위 10과목
전형별 준비도 별점: 미기재 / 도전 전형·선택 이유: 미기재</t>
        </is>
      </c>
      <c r="E12" s="5" t="inlineStr">
        <is>
          <t>모집요강 표와 반영 과목 수는 채웠으나 본인 준비도 점검은 비어 있음.</t>
        </is>
      </c>
      <c r="F12" s="5" t="inlineStr">
        <is>
          <t>반영 방법,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태권도 선수 / 희망 학과 태권도학과 / 목표 대학 용인대·백석대 → 모두 '그대로 유지'
유지 이유: '내가 지금 잘하는 것이 태권도여서'
최종 진로 목표: 운동 계열 / 태권도 선수(코치) / 태권도학과 / 용인대
과목 설계(연결 포인트): 국어 '운동 전략, 감독님의 지시 이해', 수학 '훈련 계획, 기록 분석', 영어 '해외 훈련, 국제대회 참가', 사회 '상대방 존중 태도', 과학 '인체의 구조와 기능, 운동에서'(판독 기준)
선택 과목: 국어 매체 의사소통·문예창작의 이해(판독 추정) / 영어 미디어 영어·세계 문화와 영어 / 사회 윤리와 사상·현대사회와 윤리 / 과학 물리학·역학과 에너지 / 수학·기타 미기재
수시 관심: 실기/실적 / 정시 관심: 실기/실적 / 2학기 집중 과제: '실기'
2학기 다짐: '내가 가고픈 대학을 가기 위해 더 열심히 하겠습니다'</t>
        </is>
      </c>
      <c r="E13" s="5" t="inlineStr">
        <is>
          <t>최종 활동지에서는 5차시 직업을 '태권도 선수'로 적고 '그대로 유지'라고 했지만, 실제 1-5 최고 관심 직업은 '영어 학원강사'였음 — 1학기 중 진로가 영어 교육 → 태권도로 바뀐 것을 본인은 유지로 인식함.
과목별로 태권도와의 연결 포인트를 구체적으로 적었고, 수시·정시 모두 실기/실적 전형을 선택해 목표는 명확해짐.
1-3 영어 목표 100점, 1-4 외국어 문학 추천 등 영어 강점도 뚜렷해, 태권도+영어(국제 코치·국제 심판 등) 진로 연결을 안내하면 좋음.</t>
        </is>
      </c>
      <c r="F13" s="5" t="inlineStr">
        <is>
          <t>수학·기타 과목명 미기재, 국어 과목명 일부 판독 추정</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교육학과
학업역량 B&gt;A&gt;C — 이유: B는 거의 다 1.00~1.50, A는 1.0~1.5가 많고 2.50까지 있으며, C는 1.5~3.00까지 많아서
진로역량 A&gt;C&gt;B(수정 흔적) — 이유: A는 교사가 되기 위해 교육 관련 책에 관심이 많고 진로에 대한 자세가 매우 좋음, B는 자신의 관심 분야 상식을 넓힘(일부 판독 어려움)
공동체역량 A&gt;B&gt;C — 이유 미기재
예상 A-B-C → 결과 A-B-C (일치)
느낀 점·배운 점: 미기재</t>
        </is>
      </c>
      <c r="E14" s="5" t="inlineStr">
        <is>
          <t>등급 수치를 구간별로 비교하는 등 학업역량 분석이 꼼꼼함. 예상과 결과 일치.</t>
        </is>
      </c>
      <c r="F14" s="5" t="inlineStr">
        <is>
          <t>공동체역량 이유, 느낀 점·배운 점 미기재</t>
        </is>
      </c>
    </row>
    <row r="15" ht="222"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주제탐구(진로독서 칸에 X 표시)
선택 이유: 진로는 아직 확실하지 않지만 태권도를 어렸을 때부터 해서 태권도 진로를 탐구하고 싶어서
관심 분야: 원본 '태권도 코치' → 보완본 '체육, 교육'(태권도 코치는 지움)
그렇게 생각한 이유: 태권도를 많이 해서 태권도 코치에 관심이 생김
잠정 탐구 주제: 원본 '태권도 코치는 돈을 얼마나 버는가' → 보완본 '태권도 교육의 효과와 지도자의 역할'
주제 선택 이유: 원본 '태권도 코치에 관심이 생겨 알아보고 싶어서' → 보완본 '내가 코치가 되어 선수들을 가르치면 그것의 효과와 나의 역할을 정확하게 알기 위해서'
8차시 계획·다짐: 미기재</t>
        </is>
      </c>
      <c r="E15" s="5" t="inlineStr">
        <is>
          <t>P-2 스캔본 25쪽의 1차시 보완본을 함께 반영함. 탐구 주제를 '코치 수입'에서 '태권도 교육의 효과와 지도자의 역할'로 탐구다운 주제로 다듬음.
1학기 태권도 선수·태권도학과 목표에서 '지도자(코치)'로 관심이 넓어짐.</t>
        </is>
      </c>
      <c r="F15" s="5" t="inlineStr">
        <is>
          <t>8차시 계획표, 다짐 미기재</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김하율(10809)과 함께(with 기재)
핵심 탐구 질문: 태권도 교육은 무슨 효과를 가져오고 지도자의 역할은 무엇이 있을까?
하위 질문 ①: 태권도 훈련은 신체적으로 어떤 긍정적 효과가 있을까?
하위 질문 ②: 태권도 훈련은 정신적으로 어떤 긍정적 효과가 있을까?
하위 질문 ③: 효과적인 태권도 교육을 위해 지도자의 역할은 무엇이 있을까?
활용할 자료원: DBpia, 대한태권도협회
[P-3 활동지 여백에 추가로 적은 내용] 탐구 주제를 바꿔 다시 정리함(이전: 태권도 교육의 효과와 지도자의 역할(2차시 계획서))
· 탐구 주제: 체육수업이 학생들에게 주는 영향
· 핵심 탐구 질문: 체육수업이 학생들에게 무슨 영향을 줄까?
· 하위 질문 1: 체육수업은 학생들의 학업에 어떤 영향을 줄까?
· 하위 질문 2: 체육수업은 학생들의 신체적 건강과 체력에 어떤 영향을 줄까?
· 하위 질문 3: 체육수업은 학생들의 협동심과 대인관계 형성에 어떤 영향을 줄까?</t>
        </is>
      </c>
      <c r="E16" s="5" t="inlineStr">
        <is>
          <t>1학기 1-7(태권도학과 탐색)을 거의 비웠던 것에 비해 이번 계획서는 모든 칸을 채움. 질문 구조(신체 효과 → 정신 효과 → 지도자 역할)가 명확함.
[P-3 때 보완] 태권도 교육 → 체육수업 전반으로 주제를 바꿈(짝 김하율과 동일, 하위 질문 3개). 1학기 태권도학과 관심과의 연결은 옅어짐.</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5개 수집(출처는 모두 'DBpia'만 기재, ⑤는 요약 없음)
① 체육수업의 경쟁을 통한 성취감이 청소년의 학업적 열정에 긍정적인 영향을 준다.
② 정기적인 체육수업은 신체 조성의 긍정적 변화뿐 아니라 심폐지구력·근력 등 주요 체력 요인을 유의미하게 개선한다.
③ 협동학습과 스포츠 교육 모형을 통해 협동심 및 대인관계 형성에 매우 긍정적인 영향을 준다는 결과.
④ AI 센서와 빅데이터를 활용한 체육수업은 학생의 신체활동을 늘리고 자기주도성 확립을 가능하게 한다.
나의 생각/메모: 미기재
[여백 추가 기재] 탐구 주제·핵심 질문·하위 질문 3개(→ 2차시 보완 내용은 P-2 행에 합침)</t>
        </is>
      </c>
      <c r="E17" s="5" t="inlineStr">
        <is>
          <t>P-2의 '태권도 교육의 효과와 지도자의 역할'에서 짝 김하율과 같은 '체육수업이 학생들에게 주는 영향'으로 주제를 바꿈 — 자료 ①~④도 김하율의 활동지와 거의 동일한 공동 조사. 태권도(1학기 희망 학과)와의 연결은 사라짐 — 진로와의 연결 확인 필요.</t>
        </is>
      </c>
      <c r="F17" s="5" t="inlineStr">
        <is>
          <t>자료 ⑤ 요약, 나의 생각/메모 미기재
출처를 'DBpia'로만 적음</t>
        </is>
      </c>
    </row>
  </sheetData>
  <mergeCells count="2">
    <mergeCell ref="A2:F2"/>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10822 최시우)</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3, 2번 2 / 선생님께: '안녕하세요, 선생님. 항상 열심히 수업 참여하겠습니다'
자기소개 진진가: '나의 혈액형은 A이다 / 나는 축구학원을 다녔다 / 나는 형이 있다'(가짜 3번), '나는 사회를 좋아한다 / 나는 원일중을 나왔다 / 나는 집에 고양이를 키운다'(가짜 3번)
질문지: 자신 있게 말할 수 있다 → '보통', 노력하고 있다·필요한 공부를 안다 → '그렇다', 가족과 이야기 → '그렇지 않다', 상담 경험 → '매우 그렇지 않다'
상담 상대: 기타('없다') / 진로 결정 시 중요: 나의 소질과 적성 / 정보 탐색: 인터넷, 유튜브, 관련 서적 독서
노력: 틈틈이 정보 수집 / 어려운 점: 나의 특성을 몰라서, 진로 관련 정보 탐색이 어려워서
진로수업에 바라는 것: '진로 관련 정보를 어디서 찾고 어떻게 하는지 알고 싶다'
약속: ★연결 — '이 수업은 결국 미래를 위해 하는 것이기 때문에 나의 미래와 연결하여 수업을 들을 것이다'
깨달은 점: '친구들과 좀 더 친해지고 진로에 좀 더 관심이 생겼다' / 다섯 글자: '열심히하자'</t>
        </is>
      </c>
      <c r="E5" s="5" t="inlineStr">
        <is>
          <t>진로 상담 경험이 없고 상담 상대도 '없다'고 적음 — 개별 진로 상담 기회 제공 권장. '사회를 좋아한다'가 이후 상경계열 관심과 연결됨.</t>
        </is>
      </c>
      <c r="F5" s="5" t="inlineStr">
        <is>
          <t>-</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모두 작성: 정시=수능, 학생부교과/학생부종합, 수능 최저학력, 5등급제·상위 10%, 지필+수행, 수행평가, 192학점, 진로, 1학년 여름방학, 과정, 과목별 세부능력 특기사항, 수업에 적극적으로 참여(발표·질문·과제 성실 수행), 자율·동아리·행동특성 및 종합의견, 공통·통합사회/통합과학, 내신·생기부, 역전, 주도성
활동 후 다짐: 미기재</t>
        </is>
      </c>
      <c r="E6" s="5" t="inlineStr">
        <is>
          <t>영상 핵심 내용을 빠짐없이 정확하게 기록함.</t>
        </is>
      </c>
      <c r="F6" s="5" t="inlineStr">
        <is>
          <t>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1등급 28등, 2등급 94등, 3등급 183등, 4등급 249등(필산으로 직접 계산, 최종값 정확)
100점 동점자 50명 → 전원 2등급 / 대학이 깊게 보는 항목 → 과목별 세부능력 및 특기사항(세특) / 세특 확인 → 2학년 진급 후 확인 가능
1등급 28명에 대한 느낀 점: '더 열심히 공부해야겠다'
목표 점수: 국어 80, 수학 85, 영어 80, 한국사 90, 통합사회 95, 통합과학 80
시험 계획: 수학만 작성(4/9 교과서 다항식의 덧셈·뺄셈·곱셈 공부 1시간+교과서 문제 1시간, 4/10 2차함수, 4/11~4/12 프린트 문제 풀이 2시간+오답노트 1시간, 4/13 전 내용 복습+약한 부분 공부 2시간)</t>
        </is>
      </c>
      <c r="E7" s="5" t="inlineStr">
        <is>
          <t>계산·문항 모두 정답. 수학 계획을 시간 단위까지 구체적으로 세움(다른 과목 계획은 비어 있음).
통합사회 목표가 가장 높음(95점).</t>
        </is>
      </c>
      <c r="F7" s="5" t="inlineStr">
        <is>
          <t>수학 외 과목 계획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①도덕성(임마누엘 칸트 / 의약품 인허가 전문가·초중고 교사·판사) ②협동심(공자 / 국제협력기구 전문가·전통기술 기술자·사회적기업 운영자) ③끈기(세종대왕 / 반려동물 행동교정 전문가·운동선수·연주가·동물사육사)
핵심 강점: 협동심 — 연관 단어: 군대, 공자, 유비, 도움, 친구, 조화, 협력, 공유 / 강화 방안: '이기적인 생각 버리기'
MIT 희망 전공: 경영·경제, 사회·심리, 정치·국제 / 추천 전공: 경영·경제(경영·진단 전문가·투자분석가·회계사 / 경제학과·경영학과·호텔경영학과), 언론·홍보(방송기자·아나운서 / 미디어학과·광고홍보학과), 수학·물리(신용분석가·금융상품개발자·빅데이터 분석가 / 통계학과·정보통계학과·수학과)
가장 선호하는 계열: 사회계열
불일치 이유: X 표시
선호 직무 유형: 글로벌형 / 직업 가치: 경제적 풍족, 안정성, 사회적 인정</t>
        </is>
      </c>
      <c r="E8" s="5" t="inlineStr">
        <is>
          <t>희망·추천 전공 1순위가 경영·경제로 일치 — 이후 펀드매니저·경제학과·주식 트레이더로 일관되게 이어짐. 추천 3순위 수학·물리(금융상품개발자 등)도 금융 분야와 연결됨.</t>
        </is>
      </c>
      <c r="F8" s="5" t="inlineStr">
        <is>
          <t>불일치 이유 X 표시</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투자분석가(시장 정보를 수집하고 분석·연구하는 사람 / 의사소통 능력, 세세하고 꼼꼼한 사람 / 경영학과·경제학과·금융보험학과·세무회계학과), 회계사(개인이나 기업의 재무를 보고 상담을 하거나 서류를 작성하는 사람 / 대인관계능력·의사소통능력·세밀하게 정리하는 능력 / 경영학과·경제학과·금융보험학과·세무회계학과), 펀드매니저(기관이나 개인을 상대로 자산을 운용하는 사람 / 수리·논리력, 자료 수집 능력 / 경영학과·경제학과·금융공학과·통계학과), 국회의원(정부 예산안 심의 및 확정, 법과 관련된 일 / 자기성찰능력·언어능력·수리논리력 / 법학과·사회학과)
토너먼트: 결승 투자분석가 vs 펀드매니저 → 최종 '펀드매니저'
선택 이유: '투자분석가보다 더 재밌을 것 같고 나의 성격과 더 잘 맞는 것 같아서' / 투자분석가 선택 이유: '회계사보다는 좀 더 기업·전망을 조사하고 싶어서' / 펀드매니저 준결승 이유: '내가 사람들을 돕는 게 좀 더 뿌듯하고 성취감이 있을 것 같아서' / 포기 이유: '투자분석가는 일찍 출근하고 늦게 퇴근하며 처리해야 할 것 같기 때문'
가치관 점검: '아이디어형과 관련성이 매우 높고 금융 투자와 상담이 잘 연결되는 편이다'</t>
        </is>
      </c>
      <c r="E9" s="5" t="inlineStr">
        <is>
          <t>4개 직업 중 3개가 금융 분야로 4차시 결과(경영·경제)와 잘 연결됨. 선택 이유가 단계마다 구체적이고 직업 특성(근무 강도 등)까지 고려함.
가치관 점검에서 직무 유형을 '아이디어형'이라 적었는데 1-4에서는 '글로벌형'이었음.</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펀드매니저
AI 대체 가능: 기업·시장 데이터 분석 자동화, 단기 트레이딩 / 협업: 투자 아이디어 보조, 고객 맞춤형 자산운용+리스크 관리 / 대체 불가: 불확실성 속 최종 책임을 지는 판단, 고객의 신뢰와 심리 관리
체크: 'AI가 못 하는 부분이 생각보다 많았다'
놀란 점: 'AI가 다 대체할 줄 알았는데 못 하는 것이 많아서 놀랐고, AI가 대체할 수 있거나 절대 못 하는 건 생각해 봤는데 AI와 협업은 생각하지 못했다. 그래서 이것을 잘 이용해야겠다고 생각했다'
키울 역량: 판단 능력(내가 이것을 살지 안 살지 정확하고 확실한 판단이 필요해서), AI 리터러시(AI 활용은 미래에 더 도움을 주기 때문이다), 냉철한 지능(감정에 따라 판단하면 안 되기 때문이다)
지금 시작할 준비: '경제에 관해 공부하고 책 많이 읽기'
모둠(사서·역사교수·작곡가·펀드매니저) 결론: 'AI가 절대 못 하는 건 구체적인 분석을 통한 사람의 심리와 공감이다'</t>
        </is>
      </c>
      <c r="E10" s="5" t="inlineStr">
        <is>
          <t>AI 분석과 역량 선택 이유가 금융 투자 현장에 맞게 구체적임. 'AI와의 협업'이라는 새로운 관점을 스스로 발견함 — 완성도 높음.</t>
        </is>
      </c>
      <c r="F10" s="5" t="inlineStr">
        <is>
          <t>미래 명함 업그레이드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경제학과 / 관심 대학: 경희대학교
학과 개요: '경제학과는 경영학을 통해 경제현상을 분석하고 설명하며, 사회적 문제를 해결하는 데 중요한 역할을 한다'
적성 연결: '주식 차트를 볼 때 흥미를 느끼고 체계적으로 분석함 → 논리적인 사고'
고교 관련 과목: 수학, 경제·경영, 심리학 / 대학 주요 교과목: 경제통계학, 경제수학, 경제통합론(판독 기준)
자격증: 투자자산운용사, 전자상거래운용사 / 진출 분야: 증권사, 은행 / 전망: 'AI로 인해 일자리 규모는 다소 감소할 전망', 취업률 64%
지금 노력할 것: '수학을 열심히 공부하고 경제와 경영을 미리 접하면서 개념을 키우기'</t>
        </is>
      </c>
      <c r="E11" s="5" t="inlineStr">
        <is>
          <t>모든 칸을 채움. 주식 차트 분석이라는 구체적인 흥미 경험을 근거로 제시함. 학과 전망에서 AI 영향까지 조사함.</t>
        </is>
      </c>
      <c r="F11" s="5" t="inlineStr">
        <is>
          <t>대학 교과목 일부 판독 기준</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4·9·5·9명 / 교과 학생부교과 70%+교과 관련 영역 서류종합평가 30%, 최저 X / 종합 1단계 서류종합평가 100%, 2단계 면접 40%+1단계 성적 60%, 최저 X / 논술 학생부교과전형 30%(교과 20%·출결 10%)+논술 70%, 최저 O / 정시 수능 80%+학생부평가 20%, 최저 X
반영 교과: 국어·수학·영어·사회·과학 / 반영 과목 수: 공통과목을 제외한 성취도(5단계)와 석차등급(5등급)이 병기되는 상위 10과목 / 반영 방법: 3학년 1학기(졸업예정자 2학년 1학기)까지 반영(논술 동일)
전형별 준비도 별점: 미기재 / 도전 전형·선택 이유: 미기재</t>
        </is>
      </c>
      <c r="E12" s="5" t="inlineStr">
        <is>
          <t>반영 교과·과목 수·반영 방법까지 모두 정확히 채움. 본인 준비도 점검은 비어 있음.</t>
        </is>
      </c>
      <c r="F12" s="5" t="inlineStr">
        <is>
          <t>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자산운용사 → '부분 수정' / 희망 학과 경제학과 → '그대로 유지' / 목표 대학·계열 경희대학교·상경 계열 → '그대로 유지'
유지 이유: '경제와 관련된 수업을 들어 봤는데 적성과 잘 맞아서'(일부 판독 어려움)
최종 진로 목표: 상경계열 / 주식 트레이더 / 경제학과 / 경희대학교
과목 설계: 국어(경제분석 역량, 의사소통 능력) 주제탐구독서(2학년/진로) / 수학(투자 판단 능력, 경제 데이터 분석 능력) 기하(3학년/진로)·인공지능 수학(2학년/진로) / 영어(글로벌 금융 파악) 세계 문화와 영어(2학년/융합) / 사회(상경 계열 탐구 과목, 경제 윤리 이해) 법과 사회·도시의 미래 탐구·정치(2학년/진로)·현대사회와 윤리(2학년) / 과학 X / 기타(글로벌 금융시장 파악) 중국어·중국어 회화(2학년)
수시 관심: 학생부 교과, 학생부 종합 / 정시 관심: 수능
2학기 집중 과제: '많은 프로그램을 참여하며 생기부를 채워야겠다'
2학기 다짐: '수학이 약한 것 같아서 2학기 때는 꼭 수학 100점을 맞을 것이다'</t>
        </is>
      </c>
      <c r="E13" s="5" t="inlineStr">
        <is>
          <t>1-4 경영·경제 → 1-5 펀드매니저 → 1-6 → 1-7 경제학과(경희대) → 최종 주식 트레이더로 금융·경제 분야에 매우 일관됨. 과목마다 진로와의 연결 포인트를 적어 과목 설계 완성도가 높음.
최종에서 스스로 '수학이 약하다'고 진단하고 수학 100점을 목표로 삼음 — 경제학과 진학에 수학이 중요하다는 점을 인식함(1-3 수학 계획도 가장 구체적).
과학을 X로 비움 — 상경계열 권장 과목 확인 안내 필요.</t>
        </is>
      </c>
      <c r="F13" s="5" t="inlineStr">
        <is>
          <t>과학 과목 설계 X, 유지 이유 일부 판독 어려움</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2024 첨단융합학부
학업역량 C&gt;A&gt;B — 이유: 우상향 여부를 우선으로 보고 선택과목도 종합적으로 봤을 때 C→A→B 순서가 나옴
진로역량 C&gt;B&gt;A — 이유: A는 진로 관련 내용이 없어 3순위, C와 B 중 C의 활동이 더 잘 연계되고 자신의 생각이 잘 드러남
공동체역량 B&gt;C&gt;A — 이유: 프로젝트와 협력을 중심으로 봄
예상 C-B-A → 결과 A-C-B
느낀 점: 서울대 생기부를 보니 주도적인 프로젝트가 중요하다고 느꼈다
배운 점: 탐구적인 활동을 많이 해야겠다</t>
        </is>
      </c>
      <c r="E14" s="5" t="inlineStr">
        <is>
          <t>평가 기준(우상향, 연계성, 협력)을 스스로 정해 일관되게 적용함.</t>
        </is>
      </c>
      <c r="F14" s="5" t="inlineStr">
        <is>
          <t>-</t>
        </is>
      </c>
    </row>
    <row r="15" ht="278"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주제탐구(백우준과 짝)
선택 이유: 평소 정세나 경영에 관심이 많아, 주제탐구 프로젝트를 통해 진로를 좀 더 확장하고 역량을 넓히기 위해
관심 분야: 경제, 경영, 사회
그렇게 생각한 이유: 어릴 때부터 우리 사회나 경제가 어떻게 돌아가는지 궁금했고, 관련 책·기사를 자주 찾아봄
잠정 탐구 주제: '미국 관세정책이 세계 정세에 미친 영향'(+ 경제력이 강한 나라가 정말 유리할까)
주제 선택 이유: 최근 대두되는 이슈이며 전 세계 경제에 영향을 끼치기 때문
8차시 계획: 2·3차시 자료조사 → 4차시 설문지 제작·유포(산출물: 설문지) → 5차시 설문자료 정리 → 6차시 PPT 제작 → 7차시 보완(산출물: PPT 제출)
다짐: '팀에게 해가 되지 않고 8차시 동안 열심히 참여하여 의미 있는 활동을 하겠다' / 자가점검 3항목 체크</t>
        </is>
      </c>
      <c r="E15" s="5" t="inlineStr">
        <is>
          <t>1학기 자산운용사·경제학과 목표와 탐구 주제가 잘 연결됨. 짝 백우준의 관심(역사)과는 차이가 있어, 주제는 주로 이 학생의 관심에서 나온 것으로 보임.
'팀에게 해가 되지 않게'라는 다짐에서 협업에 대한 책임감이 드러남.</t>
        </is>
      </c>
      <c r="F15" s="5" t="inlineStr">
        <is>
          <t>잠정 주제 두 번째 줄 일부 판독 어려움</t>
        </is>
      </c>
    </row>
    <row r="16" ht="166" customHeight="1">
      <c r="A16" s="4" t="inlineStr">
        <is>
          <t>P-2</t>
        </is>
      </c>
      <c r="B16" s="5" t="inlineStr">
        <is>
          <t>진로 프로젝트 2차시(주제탐구): 탐구 방법 안내 &amp; 탐구계획서</t>
        </is>
      </c>
      <c r="C16" s="5" t="inlineStr">
        <is>
          <t>탐구에 활용할 자료원(통계·뉴스·논문·기관 사이트) 안내 → 핵심 탐구 질문과 이를 뒷받침할 하위 질문 3개 작성 → 활용할 자료원 정리</t>
        </is>
      </c>
      <c r="D16" s="5" t="inlineStr">
        <is>
          <t>탐구 형태: 백우준(10812)과 2인 1조
핵심 탐구 질문: 미국 관세정책이 세계 정세에 미친 영향은 무엇인가?
하위 질문 ①: 관세의 기능과 내용은 무엇인가?
하위 질문 ②: 미국의 관세정책은 주요 국가들의 국제관계 및 정세에 어떤 변화를 가져왔는가?
하위 질문 ③: 미국의 관세정책이 한국 경제에 미친 영향
활용할 자료원: 한국무역협회 사이트, 관세 관련 논문·책, 한국민족문화대백과사전·두산백과(관세의 역사와 개념적 내용), 설문조사</t>
        </is>
      </c>
      <c r="E16" s="5" t="inlineStr">
        <is>
          <t>백우준과 같은 계획서. 자료원에 설문조사를 넣었는데, 관세정책 주제에서 설문 대상과 문항을 무엇으로 할지 구체화가 필요함.</t>
        </is>
      </c>
      <c r="F16" s="5" t="inlineStr">
        <is>
          <t>-</t>
        </is>
      </c>
    </row>
    <row r="17" ht="210" customHeight="1">
      <c r="A17" s="4" t="inlineStr">
        <is>
          <t>P-3</t>
        </is>
      </c>
      <c r="B17" s="5" t="inlineStr">
        <is>
          <t>진로 프로젝트 3차시(주제탐구): 자료 수집</t>
        </is>
      </c>
      <c r="C17" s="5" t="inlineStr">
        <is>
          <t>필요한 자료를 기사·논문·도서 등 5~10개 이내로 조사하고, 자료 출처를 명확히 기록한 뒤 핵심 내용을 나의 언어로 요약하기(나의 생각/메모 포함)</t>
        </is>
      </c>
      <c r="D17" s="5" t="inlineStr">
        <is>
          <t>[주제탐구] 자료 1개 수집
① 『한국민족문화대백과사전』, 『사회·문화의 관세의 기능과 종류』(책): 관세는 국세 중 하나이며 기능은 특정 국내산업 보호와 재정수입 확보. 관세는 대체로 수입세를 의미하고 소비를 억제하며 국제수지 개선 및 수출촉진에 쓰임. 관세의 종류: 할당관세(수량 기준), 슬라이딩관세(가격 기준).
자료 ②~⑤, 나의 생각/메모: 미기재</t>
        </is>
      </c>
      <c r="E17" s="5" t="inlineStr">
        <is>
          <t>짝 백우준과 같은 자료·요약(관세의 개념·기능) 1건만 수집함. 주제(미국 관세정책이 세계 정세에 미친 영향)에 직접 해당하는 자료는 아직 없음. 활동지 이름란에 '최시우 with 백우준'으로 적음.</t>
        </is>
      </c>
      <c r="F17" s="5" t="inlineStr">
        <is>
          <t>자료 ②~⑤, 메모 미기재</t>
        </is>
      </c>
    </row>
  </sheetData>
  <mergeCells count="2">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10823 한아인)</t>
        </is>
      </c>
    </row>
    <row r="2" ht="48" customHeight="1">
      <c r="A2" s="2" t="inlineStr">
        <is>
          <t>※ 활동지 스캔본(PDF)을 바탕으로 정리. 필체 판독이 어렵거나 학생이 미기재한 항목은 '판독 어려움/미기재'로 표기함. 1학기(1-1~1-8, 최종) 개인 스캔본과 2학기 2-2 학급 스캔본을 반영함. 2학기 진로 프로젝트(개별 프로젝트) P-1(1차시 트랙 선택·계획서)·P-2(2차시 트랙별 활동지) 학급 스캔본을 추가 반영함. P-3(3차시: 주제탐구 자료 수집 / 진로독서 독서 전 활동 / 습관형성 1주차 기록표) 학급 스캔본을 추가 반영함.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75" customHeight="1">
      <c r="A5" s="4" t="inlineStr">
        <is>
          <t>1-1</t>
        </is>
      </c>
      <c r="B5" s="5" t="inlineStr">
        <is>
          <t>진로수업 OT</t>
        </is>
      </c>
      <c r="C5" s="5" t="inlineStr">
        <is>
          <t>진로선생님 진진가 퀴즈, 나 진진가 자기소개, 진로활동 안내(자기이해→직업세계→진로탐색→설계), 진로활동 질문지, 진로수업 약속·다짐</t>
        </is>
      </c>
      <c r="D5" s="5" t="inlineStr">
        <is>
          <t>진진가 퀴즈 정답: 1번 2, 2번 1
자기소개 진진가: '나의 혈액형은 A형이다 / 나의 MBTI는 INFJ이다 / 가장 좋아하는 색은 하늘색이다', '나의 생일은 8월 26일이다 / 가장 좋아하는 계절은 봄이다 / 나는 외동이다'
질문지: 자신 있게 말할 수 있다·가족과 이야기·상담 경험 → '매우 그렇다', 노력하고 있다·필요한 공부를 안다 → '그렇다'
상담 상대: 교사, 부모나 친척, 선배나 친구 / 진로 결정 시 중요: 나의 소질과 적성 / 정보 탐색: 인터넷, 진로 상담
노력: 틈틈이 정보 수집, 진로 상담을 통한 탐색 / 어려운 점: 나의 특성을 몰라서
진로수업에 바라는 것: '우리 학교의 선택과목의 종류, 희망 진로에 적합한 선택과목에 대해서 알아보고 싶다'
약속: ★적극 — '적극적인 태도가 나의 미래를 주도적으로 이끌 수 있다고 생각하기 때문이다'
깨달은 점: '학교 위치에 대해 아직 익히지 못했는데, 이번 수업을 계기로 더 잘 알게 되었다' / 다섯 글자: '완전열심히'</t>
        </is>
      </c>
      <c r="E5" s="5" t="inlineStr">
        <is>
          <t>진로 자신감 문항이 학급에서 가장 높은 편이고, 입학 초부터 과목 선택에 관심을 보임.</t>
        </is>
      </c>
      <c r="F5" s="5" t="inlineStr">
        <is>
          <t>-</t>
        </is>
      </c>
    </row>
    <row r="6" ht="175" customHeight="1">
      <c r="A6" s="4" t="inlineStr">
        <is>
          <t>1-2</t>
        </is>
      </c>
      <c r="B6" s="5" t="inlineStr">
        <is>
          <t>나의 3년을 담는 기록장_학교생활기록부</t>
        </is>
      </c>
      <c r="C6" s="5" t="inlineStr">
        <is>
          <t>학교생활기록부 항목 이해, 영상 시청하며 수시·정시, 5등급제 내신, 고교학점제, 세특, 창체, 2028 수능 변화 빈칸 채우기</t>
        </is>
      </c>
      <c r="D6" s="5" t="inlineStr">
        <is>
          <t>빈칸 대부분 작성: 정시=수능, 학생부교과/학생부종합, 수능 최저학력, 5등급제·상위 10%, 지필+수행, 수행평가, 192학점, 희망 진로, 1학년 여름방학, 과정, 세부능력 특기사항(교과학습 발달 상황), 적극적으로 참여하는 태도, 자율·자치·동아리·행동특성 및 종합의견, 공통·통합사회/통합과학, 정시 반영 요소 'O', 주도성
미기재: 7번 '역전', 8번 다짐</t>
        </is>
      </c>
      <c r="E6" s="5" t="inlineStr">
        <is>
          <t>영상 핵심 내용을 거의 빠짐없이 기록함.</t>
        </is>
      </c>
      <c r="F6" s="5" t="inlineStr">
        <is>
          <t>7번 첫 빈칸, 8번 다짐 미기재</t>
        </is>
      </c>
    </row>
    <row r="7" ht="175" customHeight="1">
      <c r="A7" s="4" t="inlineStr">
        <is>
          <t>1-3</t>
        </is>
      </c>
      <c r="B7" s="5" t="inlineStr">
        <is>
          <t>고등학교 내신 산출의 이해</t>
        </is>
      </c>
      <c r="C7" s="5" t="inlineStr">
        <is>
          <t>중학교(절대평가) vs 고등학교(상대평가) 비교, 277명 기준 등급 커트라인 계산, 등급 결정 변수, 1차 정기시험 목표·계획 세우기</t>
        </is>
      </c>
      <c r="D7" s="5" t="inlineStr">
        <is>
          <t>등급 커트라인: 1등급 28등, 2등급 94등, 3등급 183등, 4등급 249등(계산식 기재, 최종값 정확)
100점 동점자 50명 → 전원 2등급 / 대학이 깊게 보는 항목 → 과목별 세부 능력 특기 사항 / 세특 확인 → '다음 해에 확인할 수 있다'
1등급 28명에 대한 느낀 점: 미기재
목표 점수: 국어 90, 수학 85, 영어 90, 한국사 95, 통합사회 95, 통합과학 90
시험 계획: 6과목 모두 4/9~4/19 날짜별로 촘촘하게 작성(수학 고쟁이 step1·2 단원별 문제 수까지, 국어 파수꾼 필기·평가문제집·모의고사, 영어 단원별 단어, 한국사 분단의 형성~조선 복습·EBS 개념완성, 통합사회 단원 복습·EBS, 통합과학 생명·물리·지구과학·화학 필기·문제집)</t>
        </is>
      </c>
      <c r="E7" s="5" t="inlineStr">
        <is>
          <t>계산 정답. 6과목 계획을 학급에서 가장 촘촘하게 세움(문제집 이름·문제 수까지 명시). 목표 점수도 높고 고르게 설정함.</t>
        </is>
      </c>
      <c r="F7" s="5" t="inlineStr">
        <is>
          <t>느낀 점 미기재</t>
        </is>
      </c>
    </row>
    <row r="8" ht="175" customHeight="1">
      <c r="A8" s="4" t="inlineStr">
        <is>
          <t>1-4</t>
        </is>
      </c>
      <c r="B8" s="5" t="inlineStr">
        <is>
          <t>자기 이해 검사 종합하기</t>
        </is>
      </c>
      <c r="C8" s="5" t="inlineStr">
        <is>
          <t>POWER UP 강점진로검사(나의 강점·핵심 강점 강화), MIT 전공 흥미 검사(희망 vs 추천 전공 비교), 선호 직무 유형·직업 가치</t>
        </is>
      </c>
      <c r="D8" s="5" t="inlineStr">
        <is>
          <t>강점: ①예술적 감수성(레오나르도 다빈치 / 공공 디자이너·사진작가·건축가·작곡가) ②도덕성(임마누엘 칸트 / 의약품 인허가 전문가·판사·초중고 교사) ③공감(마더 테레사 / 동물매개 심리치료사·상담 전문가·피해자 심리전문요원)
핵심 강점: 공감 — 연관 단어: 상담, 대화, 심리, 리액션, 관계, 마음, 타인, 이해 / 강화 방안: '타인과 많이 대화해 보기'
MIT 희망 전공: 초·중등교육, 국어국문학, 사회·심리 / 추천 전공: 초·중등교육(교육학 연구원·초등학교 교사·중고등학교 교사 / 국어·영어·사회교육과·교육학과·교육심리학과), 국어국문학(출판물 기획자·소설가·영화 시나리오 작가 / 국어국문학과·문예창작학과·한국어문학과), 외국어문학(외국어 강사·통역사·번역가 / 영어영문학과·중어중문학과)
가장 선호하는 계열: 교육
불일치 이유: '1, 2순위는 일치했지만 3순위가 달랐다. 내가 생각하기엔 사회·심리 분야가 3순위였으나, 실제로는 외국어문학이었다. 생각보다 외국어를 좋아하고 익히는 데 관심이 많았던 것 같다'
선호 직무 유형: 글로벌 / 직업 가치: 사회봉사, 안정성, 사회적 인정</t>
        </is>
      </c>
      <c r="E8" s="5" t="inlineStr">
        <is>
          <t>희망·추천 전공 1·2순위가 일치하고, 불일치 이유를 스스로 분석해 자기 이해로 연결함 — 활동 취지를 정확히 이해함.</t>
        </is>
      </c>
      <c r="F8" s="5" t="inlineStr">
        <is>
          <t>-</t>
        </is>
      </c>
    </row>
    <row r="9" ht="175" customHeight="1">
      <c r="A9" s="4" t="inlineStr">
        <is>
          <t>1-5</t>
        </is>
      </c>
      <c r="B9" s="5" t="inlineStr">
        <is>
          <t>최고 관심 직업 선정하기</t>
        </is>
      </c>
      <c r="C9" s="5" t="inlineStr">
        <is>
          <t>4차시 결과를 종합해 관심 직업 4개 정보 수집 → 토너먼트로 최고 관심 직업 선정 → AI로 선호 직무유형·직업가치와의 관련성 확인 → 미래 명함 만들기</t>
        </is>
      </c>
      <c r="D9" s="5" t="inlineStr">
        <is>
          <t>관심 직업 4개: 중·고등학교 교사(중·고등학생에게 교과목을 가르치고 생활을 지도, 교육과정 실행, 교재를 통해 수업, 시험 출제, 상담 / 자기성찰능력·수리논리력·언어능력 / 국어교육과·윤리교육과·사회교육과), 초등학교 교사(수업 지도, 학급 운영, 생활 지도, 학습 계획안 작성 등 / 대인관계능력·자기성찰능력 / 초등교육과), 교육학 연구원(교육의 목적·내용·방법에 대한 합리적인 교육체제·방법 설계·개발, 교육 전반 문제 분석·평가 / 수리·논리력·언어능력 / 교육학과·교육공학과), 통역가(외국어 대화나 발표를 우리말로, 우리말을 외국어로 전달 / 언어능력 / 영어영문학과·독어독문학과 등)
토너먼트: 결승 중·고등학교 교사 vs 초등학교 교사 → 최종 '중·고등학교 교사'
선택 이유: '내가 추구하는 가치와도 일맞고 흥미가 있어서' / 준결승: 언어에도 관심이 있으나 가르치는 일에 더 흥미가 있어서, 직접 가르치는 일에 더 흥미가 있기 때문 / 포기 이유: '여러 과목을 가르치기보다는 한 과목을 깊이 있게 탐구하고 싶어서'
AI 관련 정도: '약 85~88% 정도의 적합성을 갖는다. 글로벌형은 75%, 사회봉사 가치관엔 95%, 안정성 가치관엔 90%, 사회적 인정 가치관엔 80% 적합하다. 영어·사회 계열 교사를 추천받았다'</t>
        </is>
      </c>
      <c r="E9" s="5" t="inlineStr">
        <is>
          <t>AI 분석 결과를 가치관별 수치로 정리하는 등 활동을 매우 꼼꼼히 수행함. '한 과목을 깊이 탐구하고 싶다'는 이유로 중등교사를 선택 — 명확한 자기 기준이 있음.</t>
        </is>
      </c>
      <c r="F9" s="5" t="inlineStr">
        <is>
          <t>미래 명함 페이지(뒷면)는 비어 있음</t>
        </is>
      </c>
    </row>
    <row r="10" ht="175" customHeight="1">
      <c r="A10" s="4" t="inlineStr">
        <is>
          <t>1-6</t>
        </is>
      </c>
      <c r="B10" s="5" t="inlineStr">
        <is>
          <t>미래 직업 세계와 AI: 내 직업은 어떻게 변할까?</t>
        </is>
      </c>
      <c r="C10" s="5" t="inlineStr">
        <is>
          <t>AI 3단 분석(대체/협업/대체 불가), AI 시대 키울 역량 3가지, 미래 명함 업그레이드, 모둠 토론으로 'AI가 절대 못 하는 것' 공통 결론</t>
        </is>
      </c>
      <c r="D10" s="5" t="inlineStr">
        <is>
          <t>직업: 중·고등학교 교사(분석 내용 기준)
AI 대체 가능: 반복형 평가·채점 업무, 수업 자료 제작, 기초 개념 튜터링 / 협업: 맞춤형 학습 설계, 학생 성장 코칭, 수업 운영 최적화 / 대체 불가: 학생과의 신뢰 관계 형성, 윤리·인성·사회성 교육, 복합적 인간 판단
체크: '내 생각이 AI 답과 거의 같았다'
놀란 점: '학생 성장 코칭을 AI로도 할 수 있다는 점이 흥미로웠다'
키울 역량: 공감 능력(학생들의 심리를 이해·공감해 주어야 하기 때문), 리더십(타인의 심리를 파악하고 그에 맞게 적절히 이끌어야 하기 때문), 수업·콘텐츠 설계 능력(더 쉽게 이해할 수 있도록 수업·콘텐츠를 꼼꼼하게 설계해야 함)
지금 시작할 준비: '조장과 같이 단체를 이끌 수 있는 역할들을 맡음으로써 리더십을 강화한다'
모둠 결론: 'AI가 절대 못 하는 건 타인의 심리에 공감하는 능력이다'</t>
        </is>
      </c>
      <c r="E10" s="5" t="inlineStr">
        <is>
          <t>AI 분석·역량 이유·준비 계획이 모두 교사 직무와 구체적으로 연결됨 — 완성도 높음.</t>
        </is>
      </c>
      <c r="F10" s="5" t="inlineStr">
        <is>
          <t>직업명 칸, 미래 명함, 모둠원별 기록 미기재</t>
        </is>
      </c>
    </row>
    <row r="11" ht="175" customHeight="1">
      <c r="A11" s="4" t="inlineStr">
        <is>
          <t>1-7</t>
        </is>
      </c>
      <c r="B11" s="5" t="inlineStr">
        <is>
          <t>희망 학과(전공) 탐색하기</t>
        </is>
      </c>
      <c r="C11" s="5" t="inlineStr">
        <is>
          <t>2인 1조로 같은 학과 탐색: 학과 개요, 적성 연결, 관련 고교 과목·대학 교과목, 자격증, 진출 분야, 전망, 준비할 것</t>
        </is>
      </c>
      <c r="D11" s="5" t="inlineStr">
        <is>
          <t>탐색 학과: 윤리교육과 / 관심 대학: 미기재
학과 개요: '윤리학, 철학, 정치학 등의 이론을 학습하고 교육론을 배운다'
적성 연결: '사회와 철학 분야에 관심이 많음'
고교 관련 과목: 윤리와 사상, 현대사회와 윤리, 주제 탐구 독서 / 대학 주요 교과목: 도덕적 사고와 윤리 교육, 인성 교육론, 윤리 교육론
자격증: 중등학교 2급 정교사 / 진출 분야: 중등 윤리교사, 인성교육 전문 강사, 청소년 상담사, 교육학 연구원 / 전망: 취업률 전체 68.9%
지금 노력할 것: '윤리와 관련된 책들을 많이 읽고, 국어와 관련 공부를 하여 문해력을 기른다'</t>
        </is>
      </c>
      <c r="E11" s="5" t="inlineStr">
        <is>
          <t>관련 고교 과목을 실제 선택과목명으로 정확히 적는 등 조사가 충실함. 5차시 '한 과목을 깊이 탐구하고 싶다'가 윤리교육과로 구체화됨.</t>
        </is>
      </c>
      <c r="F11" s="5" t="inlineStr">
        <is>
          <t>관심 대학 미기재</t>
        </is>
      </c>
    </row>
    <row r="12" ht="175" customHeight="1">
      <c r="A12" s="4" t="inlineStr">
        <is>
          <t>1-8</t>
        </is>
      </c>
      <c r="B12" s="5" t="inlineStr">
        <is>
          <t>나의 대학 진학 설계(대입 전형 유형별 분석)</t>
        </is>
      </c>
      <c r="C12" s="5" t="inlineStr">
        <is>
          <t>조별 사전 연습(목표 대학 모집요강 분석) → 전형 유형별 나의 준비도 별점 → 도전하고 싶은 수시·정시 전형과 이유</t>
        </is>
      </c>
      <c r="D12" s="5" t="inlineStr">
        <is>
          <t>사전 연습(동국대 수학과): 모집인원 4·9·5·9 / 교과 학생부교과 70%+교과 관련 영역 서류종합평가 30%, 최저 X / 종합 1단계 서류종합평가 100%, 2단계 면접 40%+1단계 성적 60%, 최저 X / 논술 학생부 30%+논술 70%, 최저 O / 정시 수능 80%+학생부평가 20%, 최저 X
반영 교과: 국어·수학·영어·사회·과학 등 / 반영 과목 수: 상위 10과목, 논술은 공통과목 제외 상위 10과목
전형별 준비도 별점: 미기재 / 도전 전형·선택 이유: 미기재</t>
        </is>
      </c>
      <c r="E12" s="5" t="inlineStr">
        <is>
          <t>모집요강 표와 반영 과목 수는 정확히 채움. 본인 준비도 점검은 비어 있음.</t>
        </is>
      </c>
      <c r="F12" s="5" t="inlineStr">
        <is>
          <t>반영 방법, step1 별점, step2 도전 전형 미기재</t>
        </is>
      </c>
    </row>
    <row r="13" ht="175" customHeight="1">
      <c r="A13" s="4" t="inlineStr">
        <is>
          <t>최종</t>
        </is>
      </c>
      <c r="B13" s="5" t="inlineStr">
        <is>
          <t>1학기 진로수업 마무리 활동지(나의 진로 점검 &amp; 과목 선택 최종 설계)</t>
        </is>
      </c>
      <c r="C13" s="5" t="inlineStr">
        <is>
          <t>5·7·8차시 기록 돌아보기, 1학기 최종 진로 목표, 2·3학년 과목 선택 설계, 대입 전형 연계, 2학기 다짐</t>
        </is>
      </c>
      <c r="D13" s="5" t="inlineStr">
        <is>
          <t>돌아보기: 최고 관심 직업 사회과 교사 / 희망 학과 일반사회교육과·윤리교육과 / 목표 계열 교육 → 모두 '그대로 유지'
유지 이유: '여전히 가장 흥미 있고 하고 싶다고 느껴지기 때문에'
최종 진로 목표: 교육 / 사회과 교사 / 일반사회교육과, 윤리교육과 / 목표 대학 미기재
과목 설계: 국어 주제 탐구 독서(2학년/진로)·문학과 영상(2학년/진로) / 사회(윤리, 일반사회(법·경제·문화 등)) 윤리와 사상(2학년/진로)·법과 사회(2학년/진로)·현대사회와 윤리(2학년/일반)·정치(2학년/진로)·도시의 미래 탐구(2학년/진로)·세계시민과 지리(2학년/일반) 등 / 기타 중국어(2학년/일반)·중국어 회화(2학년/진로) / 수학·영어·과학: 미기재
수시 관심: 학생부 종합 / 정시: 미체크
2학기 집중 과제: '과목별 연계 탐구 활동 수행, 2학기 예습, 최저 맞추기 위한 준비(모의고사 등)'
2학기 다짐: '더 적극적으로 희망 진로에 관해 탐색해 보고 나에게 맞는 입시·공부 방법을 찾아보겠다'</t>
        </is>
      </c>
      <c r="E13" s="5" t="inlineStr">
        <is>
          <t>1-4 초·중등교육 → 1-5 중·고등학교 교사 → 1-7 윤리교육과 → 최종 사회과 교사(일반사회·윤리교육과)로 진로가 매우 일관되고, 사회 과목을 폭넓게 설계함. 2학기 집중 과제에 '과목별 연계 탐구'와 '수능 최저 대비'까지 적어 입시 이해도가 높음.
수학·영어·과학 과목 설계가 비어 있고 목표 대학도 미정 — 사범대 권장 과목과 목표 대학 탐색 안내 필요.
2-2에서도 교과 간 연계 탐구에 관심을 보이는 등 학급에서 전반적인 활동 완성도가 가장 높은 학생 중 하나.</t>
        </is>
      </c>
      <c r="F13" s="5" t="inlineStr">
        <is>
          <t>목표 대학, 수학·영어·과학 과목 설계, 정시 관심 전형 미기재</t>
        </is>
      </c>
    </row>
    <row r="14" ht="170" customHeight="1">
      <c r="A14" s="4" t="inlineStr">
        <is>
          <t>2-2</t>
        </is>
      </c>
      <c r="B14" s="5" t="inlineStr">
        <is>
          <t>나도 입학사정관</t>
        </is>
      </c>
      <c r="C14"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4" s="5" t="inlineStr">
        <is>
          <t>평가 사례: (년도 미기재) 컴퓨터공학부
학업역량 C&gt;B&gt;A — 이유: C는 전 과목 성적이 매우 우수, A는 수학·과학 성적이 타 과목보다 낮아 전공 적합성이 의아함, B는 수학 성적이 우수
진로역량 B&gt;C&gt;A — 이유: A는 전공 관련 수학 과목에서 추가 발표·조사 이력이 없음, C는 컴퓨터·인공지능 관련 활동, B는 전공 관련 탐구·발표·조사 내용이 구체적으로 제시됨
공동체역량 B&gt;A&gt;C — 이유: A는 부회장 이력과 협력 사례, B는 진로 활동을 공유하며 전공 적합성과 공동체를 연결, C는 탐구 능력은 드러나나 공동체 관련 구체적 사례(회장 이력 등)가 부족해 아쉬움
예상 미기재 → 결과 C-A-B
느낀 점: 사람마다 평가 기준이 미묘하게 다르고, 생각보다 복합적인 요소로 결정됨을 알게 됐다
배운 점: 타 과목에도 자신의 흥미 분야를 적용하고 탐구한 점이 인상적이었고 나도 참고해 보고 싶다</t>
        </is>
      </c>
      <c r="E14" s="5" t="inlineStr">
        <is>
          <t>학생별로 역량 근거를 비교·대조해 작성 — 학급에서 가장 완성도 높은 활동지 중 하나. 교과 간 연계 탐구에 관심을 보임.</t>
        </is>
      </c>
      <c r="F14" s="5" t="inlineStr">
        <is>
          <t>평가 사례 년도, 조별 예상 결과 미기재</t>
        </is>
      </c>
    </row>
    <row r="15" ht="236" customHeight="1">
      <c r="A15" s="4" t="inlineStr">
        <is>
          <t>P-1</t>
        </is>
      </c>
      <c r="B15" s="5" t="inlineStr">
        <is>
          <t>진로 프로젝트 1차시: 3종 트랙 탐색·선택 및 8차시 개인 계획서</t>
        </is>
      </c>
      <c r="C15" s="5" t="inlineStr">
        <is>
          <t>주제탐구·진로독서·습관형성 3개 트랙의 특징 비교 → 나에게 맞는 트랙 1개 선택과 이유 → 선택 트랙별 초기 아이디어 구상 → 8차시 세부 계획(차시별 활동·산출물) → 다짐 및 계획 자가점검</t>
        </is>
      </c>
      <c r="D15" s="5" t="inlineStr">
        <is>
          <t>선택 트랙: 진로독서
선택 이유: 평소 글을 읽고 쓰며 생각하는 것을 좋아하는데, 관심 분야의 책을 읽고 깊이 있는 탐구를 해볼 수 있는 트랙 같아서
진로독서 이유: 통합사회를 배우며 궁금했던 내용이나 사회 교과로서 알아두어야 할 지식을 알아보고 심층 탐구하고 싶어서(독서 → 교과 내용과 연계 → 새로운 주제 탐구·발표?)
도서 선정 기준: ①관심 분야 ②진로와의 연계 ③생각해볼 거리가 많은 책
후보 도서: 『존 롤스 정의론』, 『공정하다는 착각』, 『최소한의 선의』(P-2와 대조해 판독)
8차시 계획: 2·3·4차시 독서(산출물: 독서 포트폴리오 — 읽은 부분까지), 5차시 이후는 적었다 지운 흔적
다짐·자가점검: 미기재</t>
        </is>
      </c>
      <c r="E15" s="5" t="inlineStr">
        <is>
          <t>1학기 사회과 교사·윤리교육과 목표와 도서 선정 기준(진로와의 연계)이 잘 맞음. 독서를 교과 내용과 연결해 탐구·발표로 확장하려는 구상이 돋보임.</t>
        </is>
      </c>
      <c r="F15" s="5" t="inlineStr">
        <is>
          <t>5~7차시 계획, 다짐 미기재</t>
        </is>
      </c>
    </row>
    <row r="16" ht="166" customHeight="1">
      <c r="A16" s="4" t="inlineStr">
        <is>
          <t>P-2</t>
        </is>
      </c>
      <c r="B16" s="5" t="inlineStr">
        <is>
          <t>진로 프로젝트 2차시(진로독서): 도서 선정</t>
        </is>
      </c>
      <c r="C16" s="5" t="inlineStr">
        <is>
          <t>진로독서의 필요성 생각 → 도서 선정 기준(관심 분야·난이도·최신성 등) 정리 → 후보 도서 3권 비교 → 최종 1권 선정과 이유</t>
        </is>
      </c>
      <c r="D16" s="5" t="inlineStr">
        <is>
          <t>탐구 형태: 개인
진로독서 이유: 책을 통해 사회 교과의 이론을 더 깊이, 쉽게 알아보기 위해서
도서 선정 기준: ①관심 분야 ②책의 수준(너무 쉬워도, 어려워도 곤란) ③사회 교과와의 관련성
후보 도서: 『최소한의 선의』, 『우리에게는 헌법이 있다』, 『공정하다는 착각』
최종 선정 도서: 『우리에게는 헌법이 있다』
선정 이유: 통합사회2 1단원을 공부하며 헌법과 법치주의에 흥미를 가지게 되어, 이 책을 통해 그 내용을 직접 탐구해보고 싶다</t>
        </is>
      </c>
      <c r="E16" s="5" t="inlineStr">
        <is>
          <t>후보 3권 비교부터 최종 선정 이유까지 모든 칸을 채움. 교과 수업(통합사회2)에서 생긴 흥미를 독서로 확장한 흐름이 좋음.</t>
        </is>
      </c>
      <c r="F16" s="5" t="inlineStr">
        <is>
          <t>-</t>
        </is>
      </c>
    </row>
    <row r="17" ht="210" customHeight="1">
      <c r="A17" s="4" t="inlineStr">
        <is>
          <t>P-3</t>
        </is>
      </c>
      <c r="B17" s="5" t="inlineStr">
        <is>
          <t>진로 프로젝트 3차시(진로독서): 독서 전 활동 및 독서 활동 시작</t>
        </is>
      </c>
      <c r="C17" s="5" t="inlineStr">
        <is>
          <t>제목·표지를 보고 내용 예상하기 → 목차 중 가장 궁금한 부분 정하기 → 이 책을 통해 알고 싶은 것 미리 적기</t>
        </is>
      </c>
      <c r="D17" s="5" t="inlineStr">
        <is>
          <t>[진로독서] 『우리에게는 헌법이 있다』
· 제목/표지를 보고 예상한 내용: 헌법이 우리 생활에서 어떤 영향을 주고 있는지 전해 주는 책일 것 같다.
· 목차 중 가장 궁금한 부분: 3부 '우리는 자유민주적 기본 질서를 따른다 – 자유민주주의' 중 '자유'에 관한 부분과 '인간다운 삶을 보장하는 헌법적 장치'에 관한 부분이 흥미롭다.
· 이 책을 통해 알고 싶은 것: 헌법이 국민의 권리를 구체적으로 어떻게 보장하고 있는지, 헌법이 추구하는 가치에 대해 알고 싶다.</t>
        </is>
      </c>
      <c r="E17" s="5" t="inlineStr">
        <is>
          <t>목차의 부(部)·절 제목까지 정확히 인용하며 읽을 부분과 이유를 구체적으로 적음. 사회과 교사·윤리교육과 진로와 도서 선정이 일관됨.</t>
        </is>
      </c>
      <c r="F17" s="5" t="inlineStr">
        <is>
          <t>-</t>
        </is>
      </c>
    </row>
  </sheetData>
  <mergeCells count="2">
    <mergeCell ref="A2:F2"/>
    <mergeCell ref="A1:F1"/>
  </mergeCells>
  <pageMargins left="0.75" right="0.75" top="1" bottom="1" header="0.5" footer="0.5"/>
</worksheet>
</file>

<file path=xl/worksheets/sheet24.xml><?xml version="1.0" encoding="utf-8"?>
<worksheet xmlns="http://schemas.openxmlformats.org/spreadsheetml/2006/main">
  <sheetPr>
    <tabColor rgb="0070AD47"/>
    <outlinePr summaryBelow="1" summaryRight="1"/>
    <pageSetUpPr/>
  </sheetPr>
  <dimension ref="A1:W34"/>
  <sheetViews>
    <sheetView zoomScale="90"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0" customWidth="1" min="3" max="3"/>
    <col width="30"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8" customWidth="1" min="21" max="21"/>
    <col width="8" customWidth="1" min="22" max="22"/>
    <col width="70" customWidth="1" min="23" max="23"/>
  </cols>
  <sheetData>
    <row r="1">
      <c r="A1" s="1" t="inlineStr">
        <is>
          <t>2026학년도 1학년 8반 진로 프로젝트 진행 확인표</t>
        </is>
      </c>
    </row>
    <row r="2" ht="42" customHeight="1">
      <c r="A2" s="9" t="inlineStr">
        <is>
          <t>※ 제출: ○ 제출 / × 미제출(빈칸 제출도 ○로 표시하고 기록정도 '하')   ※ 기록정도 — 상: 모든 항목을 구체적으로 작성(주제탐구는 자료 3개 이상+요약) / 중: 핵심 항목은 작성했으나 일부 빈칸·자료 부족 / 하: 대부분 빈칸이거나 출처·한 줄만 작성   ※ 이후 차시 칸은 드롭다운으로 직접 입력하면 색이 자동으로 칠해짐</t>
        </is>
      </c>
    </row>
    <row r="4">
      <c r="A4" s="3" t="inlineStr">
        <is>
          <t>학번</t>
        </is>
      </c>
      <c r="B4" s="3" t="inlineStr">
        <is>
          <t>이름</t>
        </is>
      </c>
      <c r="C4" s="3" t="inlineStr">
        <is>
          <t>트랙</t>
        </is>
      </c>
      <c r="D4" s="3" t="inlineStr">
        <is>
          <t>주제 / 도서 / 습관</t>
        </is>
      </c>
      <c r="E4" s="3" t="inlineStr">
        <is>
          <t>P-1</t>
        </is>
      </c>
      <c r="F4" s="3" t="n"/>
      <c r="G4" s="3" t="inlineStr">
        <is>
          <t>P-2</t>
        </is>
      </c>
      <c r="H4" s="3" t="n"/>
      <c r="I4" s="3" t="inlineStr">
        <is>
          <t>P-3</t>
        </is>
      </c>
      <c r="J4" s="3" t="n"/>
      <c r="K4" s="3" t="inlineStr">
        <is>
          <t>P-4</t>
        </is>
      </c>
      <c r="L4" s="3" t="n"/>
      <c r="M4" s="3" t="inlineStr">
        <is>
          <t>P-5</t>
        </is>
      </c>
      <c r="N4" s="3" t="n"/>
      <c r="O4" s="3" t="inlineStr">
        <is>
          <t>P-6</t>
        </is>
      </c>
      <c r="P4" s="3" t="n"/>
      <c r="Q4" s="3" t="inlineStr">
        <is>
          <t>P-7</t>
        </is>
      </c>
      <c r="R4" s="3" t="n"/>
      <c r="S4" s="3" t="inlineStr">
        <is>
          <t>P-8</t>
        </is>
      </c>
      <c r="T4" s="3" t="n"/>
      <c r="U4" s="3" t="inlineStr">
        <is>
          <t>제출
차시 수</t>
        </is>
      </c>
      <c r="V4" s="3" t="inlineStr">
        <is>
          <t>'상'
차시 수</t>
        </is>
      </c>
      <c r="W4" s="3" t="inlineStr">
        <is>
          <t>간단기록(차시별 흐름 · 지도 포인트)</t>
        </is>
      </c>
    </row>
    <row r="5">
      <c r="A5" s="3" t="n"/>
      <c r="B5" s="3" t="n"/>
      <c r="C5" s="3" t="n"/>
      <c r="D5" s="3" t="n"/>
      <c r="E5" s="3" t="inlineStr">
        <is>
          <t>제출</t>
        </is>
      </c>
      <c r="F5" s="3" t="inlineStr">
        <is>
          <t>기록</t>
        </is>
      </c>
      <c r="G5" s="3" t="inlineStr">
        <is>
          <t>제출</t>
        </is>
      </c>
      <c r="H5" s="3" t="inlineStr">
        <is>
          <t>기록</t>
        </is>
      </c>
      <c r="I5" s="3" t="inlineStr">
        <is>
          <t>제출</t>
        </is>
      </c>
      <c r="J5" s="3" t="inlineStr">
        <is>
          <t>기록</t>
        </is>
      </c>
      <c r="K5" s="3" t="inlineStr">
        <is>
          <t>제출</t>
        </is>
      </c>
      <c r="L5" s="3" t="inlineStr">
        <is>
          <t>기록</t>
        </is>
      </c>
      <c r="M5" s="3" t="inlineStr">
        <is>
          <t>제출</t>
        </is>
      </c>
      <c r="N5" s="3" t="inlineStr">
        <is>
          <t>기록</t>
        </is>
      </c>
      <c r="O5" s="3" t="inlineStr">
        <is>
          <t>제출</t>
        </is>
      </c>
      <c r="P5" s="3" t="inlineStr">
        <is>
          <t>기록</t>
        </is>
      </c>
      <c r="Q5" s="3" t="inlineStr">
        <is>
          <t>제출</t>
        </is>
      </c>
      <c r="R5" s="3" t="inlineStr">
        <is>
          <t>기록</t>
        </is>
      </c>
      <c r="S5" s="3" t="inlineStr">
        <is>
          <t>제출</t>
        </is>
      </c>
      <c r="T5" s="3" t="inlineStr">
        <is>
          <t>기록</t>
        </is>
      </c>
      <c r="U5" s="3" t="n"/>
      <c r="V5" s="3" t="n"/>
      <c r="W5" s="3" t="n"/>
    </row>
    <row r="6" ht="36" customHeight="1">
      <c r="A6" s="4" t="n">
        <v>10801</v>
      </c>
      <c r="B6" s="4" t="inlineStr">
        <is>
          <t>류혜정</t>
        </is>
      </c>
      <c r="C6" s="4" t="inlineStr">
        <is>
          <t>진로독서</t>
        </is>
      </c>
      <c r="D6" s="5" t="inlineStr">
        <is>
          <t>(P-2 없음)</t>
        </is>
      </c>
      <c r="E6" s="4" t="inlineStr">
        <is>
          <t>○</t>
        </is>
      </c>
      <c r="F6" s="4" t="inlineStr">
        <is>
          <t>하</t>
        </is>
      </c>
      <c r="G6" s="4" t="inlineStr">
        <is>
          <t>×</t>
        </is>
      </c>
      <c r="H6" s="4" t="n"/>
      <c r="I6" s="4" t="inlineStr">
        <is>
          <t>○</t>
        </is>
      </c>
      <c r="J6" s="4" t="inlineStr">
        <is>
          <t>중</t>
        </is>
      </c>
      <c r="K6" s="4" t="n"/>
      <c r="L6" s="4" t="n"/>
      <c r="M6" s="4" t="n"/>
      <c r="N6" s="4" t="n"/>
      <c r="O6" s="4" t="n"/>
      <c r="P6" s="4" t="n"/>
      <c r="Q6" s="4" t="n"/>
      <c r="R6" s="4" t="n"/>
      <c r="S6" s="4" t="n"/>
      <c r="T6" s="4" t="n"/>
      <c r="U6" s="4">
        <f>COUNTIF(E6:T6,"○")</f>
        <v/>
      </c>
      <c r="V6" s="4">
        <f>COUNTIF(E6:T6,"상")</f>
        <v/>
      </c>
      <c r="W6" s="5" t="inlineStr">
        <is>
          <t>P-1 트랙 선택 이유만 → P-2 미제출 → P-3 진로독서 트랙인데 주제탐구 자료수집 양식 제출(출처 서비스명만, 트랙 확인 필요)</t>
        </is>
      </c>
    </row>
    <row r="7" ht="36" customHeight="1">
      <c r="A7" s="4" t="n">
        <v>10802</v>
      </c>
      <c r="B7" s="4" t="inlineStr">
        <is>
          <t>간보민</t>
        </is>
      </c>
      <c r="C7" s="4" t="inlineStr">
        <is>
          <t>주제탐구</t>
        </is>
      </c>
      <c r="D7" s="5" t="inlineStr">
        <is>
          <t>유아 영양식품·영양교육이 건강한 식습관에 미치는 영향</t>
        </is>
      </c>
      <c r="E7" s="4" t="inlineStr">
        <is>
          <t>○</t>
        </is>
      </c>
      <c r="F7" s="4" t="inlineStr">
        <is>
          <t>상</t>
        </is>
      </c>
      <c r="G7" s="4" t="inlineStr">
        <is>
          <t>○</t>
        </is>
      </c>
      <c r="H7" s="4" t="inlineStr">
        <is>
          <t>상</t>
        </is>
      </c>
      <c r="I7" s="4" t="inlineStr">
        <is>
          <t>○</t>
        </is>
      </c>
      <c r="J7" s="4" t="inlineStr">
        <is>
          <t>상</t>
        </is>
      </c>
      <c r="K7" s="4" t="n"/>
      <c r="L7" s="4" t="n"/>
      <c r="M7" s="4" t="n"/>
      <c r="N7" s="4" t="n"/>
      <c r="O7" s="4" t="n"/>
      <c r="P7" s="4" t="n"/>
      <c r="Q7" s="4" t="n"/>
      <c r="R7" s="4" t="n"/>
      <c r="S7" s="4" t="n"/>
      <c r="T7" s="4" t="n"/>
      <c r="U7" s="4">
        <f>COUNTIF(E7:T7,"○")</f>
        <v/>
      </c>
      <c r="V7" s="4">
        <f>COUNTIF(E7:T7,"상")</f>
        <v/>
      </c>
      <c r="W7" s="5" t="inlineStr">
        <is>
          <t>P-1 계획서 충실 → P-2 짝과 주제 합침 → P-3 공공기관 자료 4개를 하위 질문별로 요약</t>
        </is>
      </c>
    </row>
    <row r="8" ht="36" customHeight="1">
      <c r="A8" s="4" t="n">
        <v>10803</v>
      </c>
      <c r="B8" s="4" t="inlineStr">
        <is>
          <t>김가빈</t>
        </is>
      </c>
      <c r="C8" s="4" t="inlineStr">
        <is>
          <t>주제탐구</t>
        </is>
      </c>
      <c r="D8" s="5" t="inlineStr">
        <is>
          <t>수면 시간이 청소년의 정서 상태에 미치는 영향</t>
        </is>
      </c>
      <c r="E8" s="4" t="inlineStr">
        <is>
          <t>○</t>
        </is>
      </c>
      <c r="F8" s="4" t="inlineStr">
        <is>
          <t>중</t>
        </is>
      </c>
      <c r="G8" s="4" t="inlineStr">
        <is>
          <t>○</t>
        </is>
      </c>
      <c r="H8" s="4" t="inlineStr">
        <is>
          <t>상</t>
        </is>
      </c>
      <c r="I8" s="4" t="inlineStr">
        <is>
          <t>○</t>
        </is>
      </c>
      <c r="J8" s="4" t="inlineStr">
        <is>
          <t>상</t>
        </is>
      </c>
      <c r="K8" s="4" t="n"/>
      <c r="L8" s="4" t="n"/>
      <c r="M8" s="4" t="n"/>
      <c r="N8" s="4" t="n"/>
      <c r="O8" s="4" t="n"/>
      <c r="P8" s="4" t="n"/>
      <c r="Q8" s="4" t="n"/>
      <c r="R8" s="4" t="n"/>
      <c r="S8" s="4" t="n"/>
      <c r="T8" s="4" t="n"/>
      <c r="U8" s="4">
        <f>COUNTIF(E8:T8,"○")</f>
        <v/>
      </c>
      <c r="V8" s="4">
        <f>COUNTIF(E8:T8,"상")</f>
        <v/>
      </c>
      <c r="W8" s="5" t="inlineStr">
        <is>
          <t>P-1 주제·계획 일부 미기재 → P-2 매우 충실 → P-3 학술·공공기관 자료 5개, 수면-정서 하위 질문과 정확히 연결</t>
        </is>
      </c>
    </row>
    <row r="9" ht="36" customHeight="1">
      <c r="A9" s="4" t="n">
        <v>10804</v>
      </c>
      <c r="B9" s="4" t="inlineStr">
        <is>
          <t>김규리</t>
        </is>
      </c>
      <c r="C9" s="4" t="inlineStr">
        <is>
          <t>주제탐구</t>
        </is>
      </c>
      <c r="D9" s="5" t="inlineStr">
        <is>
          <t>지역 마스코트 활용 효과와 장기 운영 방안</t>
        </is>
      </c>
      <c r="E9" s="4" t="inlineStr">
        <is>
          <t>○</t>
        </is>
      </c>
      <c r="F9" s="4" t="inlineStr">
        <is>
          <t>중</t>
        </is>
      </c>
      <c r="G9" s="4" t="inlineStr">
        <is>
          <t>○</t>
        </is>
      </c>
      <c r="H9" s="4" t="inlineStr">
        <is>
          <t>상</t>
        </is>
      </c>
      <c r="I9" s="4" t="inlineStr">
        <is>
          <t>○</t>
        </is>
      </c>
      <c r="J9" s="4" t="inlineStr">
        <is>
          <t>상</t>
        </is>
      </c>
      <c r="K9" s="4" t="n"/>
      <c r="L9" s="4" t="n"/>
      <c r="M9" s="4" t="n"/>
      <c r="N9" s="4" t="n"/>
      <c r="O9" s="4" t="n"/>
      <c r="P9" s="4" t="n"/>
      <c r="Q9" s="4" t="n"/>
      <c r="R9" s="4" t="n"/>
      <c r="S9" s="4" t="n"/>
      <c r="T9" s="4" t="n"/>
      <c r="U9" s="4">
        <f>COUNTIF(E9:T9,"○")</f>
        <v/>
      </c>
      <c r="V9" s="4">
        <f>COUNTIF(E9:T9,"상")</f>
        <v/>
      </c>
      <c r="W9" s="5" t="inlineStr">
        <is>
          <t>P-1 주제·계획 일부 미기재 → P-2 작성 → P-3 기관 홈페이지·기사 4개, 담당 부서(미디어담당관)까지 확인</t>
        </is>
      </c>
    </row>
    <row r="10" ht="36" customHeight="1">
      <c r="A10" s="4" t="n">
        <v>10805</v>
      </c>
      <c r="B10" s="4" t="inlineStr">
        <is>
          <t>김민지</t>
        </is>
      </c>
      <c r="C10" s="4" t="inlineStr">
        <is>
          <t>습관형성</t>
        </is>
      </c>
      <c r="D10" s="5" t="inlineStr">
        <is>
          <t>(P-2 없음) 1차시: 운동 습관 회복</t>
        </is>
      </c>
      <c r="E10" s="4" t="inlineStr">
        <is>
          <t>○</t>
        </is>
      </c>
      <c r="F10" s="4" t="inlineStr">
        <is>
          <t>중</t>
        </is>
      </c>
      <c r="G10" s="4" t="inlineStr">
        <is>
          <t>×</t>
        </is>
      </c>
      <c r="H10" s="4" t="n"/>
      <c r="I10" s="4" t="inlineStr">
        <is>
          <t>×</t>
        </is>
      </c>
      <c r="J10" s="4" t="n"/>
      <c r="K10" s="4" t="n"/>
      <c r="L10" s="4" t="n"/>
      <c r="M10" s="4" t="n"/>
      <c r="N10" s="4" t="n"/>
      <c r="O10" s="4" t="n"/>
      <c r="P10" s="4" t="n"/>
      <c r="Q10" s="4" t="n"/>
      <c r="R10" s="4" t="n"/>
      <c r="S10" s="4" t="n"/>
      <c r="T10" s="4" t="n"/>
      <c r="U10" s="4">
        <f>COUNTIF(E10:T10,"○")</f>
        <v/>
      </c>
      <c r="V10" s="4">
        <f>COUNTIF(E10:T10,"상")</f>
        <v/>
      </c>
      <c r="W10" s="5" t="inlineStr">
        <is>
          <t>P-1 계획표 제외 작성 → P-2 미제출 → P-3 미제출</t>
        </is>
      </c>
    </row>
    <row r="11" ht="36" customHeight="1">
      <c r="A11" s="4" t="n">
        <v>10806</v>
      </c>
      <c r="B11" s="4" t="inlineStr">
        <is>
          <t>김세희</t>
        </is>
      </c>
      <c r="C11" s="4" t="inlineStr">
        <is>
          <t>주제탐구</t>
        </is>
      </c>
      <c r="D11" s="5" t="inlineStr">
        <is>
          <t>놀이가 아이들의 정서 발달에 미치는 영향</t>
        </is>
      </c>
      <c r="E11" s="4" t="inlineStr">
        <is>
          <t>○</t>
        </is>
      </c>
      <c r="F11" s="4" t="inlineStr">
        <is>
          <t>중</t>
        </is>
      </c>
      <c r="G11" s="4" t="inlineStr">
        <is>
          <t>○</t>
        </is>
      </c>
      <c r="H11" s="4" t="inlineStr">
        <is>
          <t>중</t>
        </is>
      </c>
      <c r="I11" s="4" t="inlineStr">
        <is>
          <t>○</t>
        </is>
      </c>
      <c r="J11" s="4" t="inlineStr">
        <is>
          <t>중</t>
        </is>
      </c>
      <c r="K11" s="4" t="n"/>
      <c r="L11" s="4" t="n"/>
      <c r="M11" s="4" t="n"/>
      <c r="N11" s="4" t="n"/>
      <c r="O11" s="4" t="n"/>
      <c r="P11" s="4" t="n"/>
      <c r="Q11" s="4" t="n"/>
      <c r="R11" s="4" t="n"/>
      <c r="S11" s="4" t="n"/>
      <c r="T11" s="4" t="n"/>
      <c r="U11" s="4">
        <f>COUNTIF(E11:T11,"○")</f>
        <v/>
      </c>
      <c r="V11" s="4">
        <f>COUNTIF(E11:T11,"상")</f>
        <v/>
      </c>
      <c r="W11" s="5" t="inlineStr">
        <is>
          <t>P-1 일부 작성 → P-2 자료원 미기재 → P-3 논문 1편만 수집(추가 자료 필요)</t>
        </is>
      </c>
    </row>
    <row r="12" ht="36" customHeight="1">
      <c r="A12" s="4" t="n">
        <v>10807</v>
      </c>
      <c r="B12" s="4" t="inlineStr">
        <is>
          <t>김연아</t>
        </is>
      </c>
      <c r="C12" s="4" t="inlineStr">
        <is>
          <t>주제탐구</t>
        </is>
      </c>
      <c r="D12" s="5" t="inlineStr">
        <is>
          <t>평소와 시험기간의 생활(몸 상태) 변화</t>
        </is>
      </c>
      <c r="E12" s="4" t="inlineStr">
        <is>
          <t>○</t>
        </is>
      </c>
      <c r="F12" s="4" t="inlineStr">
        <is>
          <t>중</t>
        </is>
      </c>
      <c r="G12" s="4" t="inlineStr">
        <is>
          <t>○</t>
        </is>
      </c>
      <c r="H12" s="4" t="inlineStr">
        <is>
          <t>중</t>
        </is>
      </c>
      <c r="I12" s="4" t="inlineStr">
        <is>
          <t>○</t>
        </is>
      </c>
      <c r="J12" s="4" t="inlineStr">
        <is>
          <t>하</t>
        </is>
      </c>
      <c r="K12" s="4" t="n"/>
      <c r="L12" s="4" t="n"/>
      <c r="M12" s="4" t="n"/>
      <c r="N12" s="4" t="n"/>
      <c r="O12" s="4" t="n"/>
      <c r="P12" s="4" t="n"/>
      <c r="Q12" s="4" t="n"/>
      <c r="R12" s="4" t="n"/>
      <c r="S12" s="4" t="n"/>
      <c r="T12" s="4" t="n"/>
      <c r="U12" s="4">
        <f>COUNTIF(E12:T12,"○")</f>
        <v/>
      </c>
      <c r="V12" s="4">
        <f>COUNTIF(E12:T12,"상")</f>
        <v/>
      </c>
      <c r="W12" s="5" t="inlineStr">
        <is>
          <t>P-1 일부+보완본 → P-2 핵심 질문만→P-3 때 질문 보완 → P-3 출처 2개만 기재(요약 없음), P-2 보완본도 이번에 제출</t>
        </is>
      </c>
    </row>
    <row r="13" ht="36" customHeight="1">
      <c r="A13" s="4" t="n">
        <v>10808</v>
      </c>
      <c r="B13" s="4" t="inlineStr">
        <is>
          <t>김하랑</t>
        </is>
      </c>
      <c r="C13" s="4" t="inlineStr">
        <is>
          <t>주제탐구</t>
        </is>
      </c>
      <c r="D13" s="5" t="inlineStr">
        <is>
          <t>유아 영양식품·영양교육이 건강한 식습관에 미치는 영향</t>
        </is>
      </c>
      <c r="E13" s="4" t="inlineStr">
        <is>
          <t>○</t>
        </is>
      </c>
      <c r="F13" s="4" t="inlineStr">
        <is>
          <t>중</t>
        </is>
      </c>
      <c r="G13" s="4" t="inlineStr">
        <is>
          <t>○</t>
        </is>
      </c>
      <c r="H13" s="4" t="inlineStr">
        <is>
          <t>상</t>
        </is>
      </c>
      <c r="I13" s="4" t="inlineStr">
        <is>
          <t>○</t>
        </is>
      </c>
      <c r="J13" s="4" t="inlineStr">
        <is>
          <t>상</t>
        </is>
      </c>
      <c r="K13" s="4" t="n"/>
      <c r="L13" s="4" t="n"/>
      <c r="M13" s="4" t="n"/>
      <c r="N13" s="4" t="n"/>
      <c r="O13" s="4" t="n"/>
      <c r="P13" s="4" t="n"/>
      <c r="Q13" s="4" t="n"/>
      <c r="R13" s="4" t="n"/>
      <c r="S13" s="4" t="n"/>
      <c r="T13" s="4" t="n"/>
      <c r="U13" s="4">
        <f>COUNTIF(E13:T13,"○")</f>
        <v/>
      </c>
      <c r="V13" s="4">
        <f>COUNTIF(E13:T13,"상")</f>
        <v/>
      </c>
      <c r="W13" s="5" t="inlineStr">
        <is>
          <t>P-1 계획 일부 미기재 → P-2 작성 → P-3 공공기관 자료 5개를 정확한 출처와 함께 요약</t>
        </is>
      </c>
    </row>
    <row r="14" ht="36" customHeight="1">
      <c r="A14" s="4" t="n">
        <v>10809</v>
      </c>
      <c r="B14" s="4" t="inlineStr">
        <is>
          <t>김하율</t>
        </is>
      </c>
      <c r="C14" s="4" t="inlineStr">
        <is>
          <t>주제탐구</t>
        </is>
      </c>
      <c r="D14" s="5" t="inlineStr">
        <is>
          <t>체육수업이 학생들에게 주는 영향(P-3에서 주제 변경)</t>
        </is>
      </c>
      <c r="E14" s="4" t="inlineStr">
        <is>
          <t>○</t>
        </is>
      </c>
      <c r="F14" s="4" t="inlineStr">
        <is>
          <t>상</t>
        </is>
      </c>
      <c r="G14" s="4" t="inlineStr">
        <is>
          <t>○</t>
        </is>
      </c>
      <c r="H14" s="4" t="inlineStr">
        <is>
          <t>상</t>
        </is>
      </c>
      <c r="I14" s="4" t="inlineStr">
        <is>
          <t>○</t>
        </is>
      </c>
      <c r="J14" s="4" t="inlineStr">
        <is>
          <t>상</t>
        </is>
      </c>
      <c r="K14" s="4" t="n"/>
      <c r="L14" s="4" t="n"/>
      <c r="M14" s="4" t="n"/>
      <c r="N14" s="4" t="n"/>
      <c r="O14" s="4" t="n"/>
      <c r="P14" s="4" t="n"/>
      <c r="Q14" s="4" t="n"/>
      <c r="R14" s="4" t="n"/>
      <c r="S14" s="4" t="n"/>
      <c r="T14" s="4" t="n"/>
      <c r="U14" s="4">
        <f>COUNTIF(E14:T14,"○")</f>
        <v/>
      </c>
      <c r="V14" s="4">
        <f>COUNTIF(E14:T14,"상")</f>
        <v/>
      </c>
      <c r="W14" s="5" t="inlineStr">
        <is>
          <t>P-1 작성+보완본 → P-2 작성 → P-3 DBpia 논문 5개, 새 하위 질문 5개와 1:1 대응</t>
        </is>
      </c>
    </row>
    <row r="15" ht="36" customHeight="1">
      <c r="A15" s="4" t="n">
        <v>10810</v>
      </c>
      <c r="B15" s="4" t="inlineStr">
        <is>
          <t>노주원</t>
        </is>
      </c>
      <c r="C15" s="4" t="inlineStr">
        <is>
          <t>주제탐구</t>
        </is>
      </c>
      <c r="D15" s="5" t="inlineStr">
        <is>
          <t>교사의 교육방식에 따른 학생 이해도 차이</t>
        </is>
      </c>
      <c r="E15" s="4" t="inlineStr">
        <is>
          <t>○</t>
        </is>
      </c>
      <c r="F15" s="4" t="inlineStr">
        <is>
          <t>상</t>
        </is>
      </c>
      <c r="G15" s="4" t="inlineStr">
        <is>
          <t>○</t>
        </is>
      </c>
      <c r="H15" s="4" t="inlineStr">
        <is>
          <t>상</t>
        </is>
      </c>
      <c r="I15" s="4" t="inlineStr">
        <is>
          <t>○</t>
        </is>
      </c>
      <c r="J15" s="4" t="inlineStr">
        <is>
          <t>중</t>
        </is>
      </c>
      <c r="K15" s="4" t="n"/>
      <c r="L15" s="4" t="n"/>
      <c r="M15" s="4" t="n"/>
      <c r="N15" s="4" t="n"/>
      <c r="O15" s="4" t="n"/>
      <c r="P15" s="4" t="n"/>
      <c r="Q15" s="4" t="n"/>
      <c r="R15" s="4" t="n"/>
      <c r="S15" s="4" t="n"/>
      <c r="T15" s="4" t="n"/>
      <c r="U15" s="4">
        <f>COUNTIF(E15:T15,"○")</f>
        <v/>
      </c>
      <c r="V15" s="4">
        <f>COUNTIF(E15:T15,"상")</f>
        <v/>
      </c>
      <c r="W15" s="5" t="inlineStr">
        <is>
          <t>P-1 작성+보완본 → P-2 작성 → P-3 기사 3개(매체명만), 후반 자료는 자기주도학습으로 초점 이동</t>
        </is>
      </c>
    </row>
    <row r="16" ht="36" customHeight="1">
      <c r="A16" s="4" t="n">
        <v>10811</v>
      </c>
      <c r="B16" s="4" t="inlineStr">
        <is>
          <t>류태준</t>
        </is>
      </c>
      <c r="C16" s="4" t="inlineStr">
        <is>
          <t>주제탐구</t>
        </is>
      </c>
      <c r="D16" s="5" t="inlineStr">
        <is>
          <t>애견 미용이 반려견의 건강과 위생에 미치는 영향</t>
        </is>
      </c>
      <c r="E16" s="4" t="inlineStr">
        <is>
          <t>×</t>
        </is>
      </c>
      <c r="F16" s="4" t="n"/>
      <c r="G16" s="4" t="inlineStr">
        <is>
          <t>○</t>
        </is>
      </c>
      <c r="H16" s="4" t="inlineStr">
        <is>
          <t>상</t>
        </is>
      </c>
      <c r="I16" s="4" t="inlineStr">
        <is>
          <t>×</t>
        </is>
      </c>
      <c r="J16" s="4" t="n"/>
      <c r="K16" s="4" t="n"/>
      <c r="L16" s="4" t="n"/>
      <c r="M16" s="4" t="n"/>
      <c r="N16" s="4" t="n"/>
      <c r="O16" s="4" t="n"/>
      <c r="P16" s="4" t="n"/>
      <c r="Q16" s="4" t="n"/>
      <c r="R16" s="4" t="n"/>
      <c r="S16" s="4" t="n"/>
      <c r="T16" s="4" t="n"/>
      <c r="U16" s="4">
        <f>COUNTIF(E16:T16,"○")</f>
        <v/>
      </c>
      <c r="V16" s="4">
        <f>COUNTIF(E16:T16,"상")</f>
        <v/>
      </c>
      <c r="W16" s="5" t="inlineStr">
        <is>
          <t>P-1 미제출 → P-2 계획서를 P-3 시간에 제출(완성도 높음) → P-3 미제출 (P-2만 제출)</t>
        </is>
      </c>
    </row>
    <row r="17" ht="36" customHeight="1">
      <c r="A17" s="4" t="n">
        <v>10812</v>
      </c>
      <c r="B17" s="4" t="inlineStr">
        <is>
          <t>백우준</t>
        </is>
      </c>
      <c r="C17" s="4" t="inlineStr">
        <is>
          <t>주제탐구</t>
        </is>
      </c>
      <c r="D17" s="5" t="inlineStr">
        <is>
          <t>미국 관세정책이 세계 정세에 미친 영향</t>
        </is>
      </c>
      <c r="E17" s="4" t="inlineStr">
        <is>
          <t>○</t>
        </is>
      </c>
      <c r="F17" s="4" t="inlineStr">
        <is>
          <t>상</t>
        </is>
      </c>
      <c r="G17" s="4" t="inlineStr">
        <is>
          <t>○</t>
        </is>
      </c>
      <c r="H17" s="4" t="inlineStr">
        <is>
          <t>상</t>
        </is>
      </c>
      <c r="I17" s="4" t="inlineStr">
        <is>
          <t>○</t>
        </is>
      </c>
      <c r="J17" s="4" t="inlineStr">
        <is>
          <t>중</t>
        </is>
      </c>
      <c r="K17" s="4" t="n"/>
      <c r="L17" s="4" t="n"/>
      <c r="M17" s="4" t="n"/>
      <c r="N17" s="4" t="n"/>
      <c r="O17" s="4" t="n"/>
      <c r="P17" s="4" t="n"/>
      <c r="Q17" s="4" t="n"/>
      <c r="R17" s="4" t="n"/>
      <c r="S17" s="4" t="n"/>
      <c r="T17" s="4" t="n"/>
      <c r="U17" s="4">
        <f>COUNTIF(E17:T17,"○")</f>
        <v/>
      </c>
      <c r="V17" s="4">
        <f>COUNTIF(E17:T17,"상")</f>
        <v/>
      </c>
      <c r="W17" s="5" t="inlineStr">
        <is>
          <t>P-1 작성 → P-2 작성 → P-3 관세 개념 자료 1건(주제 직접 자료 보완 필요)</t>
        </is>
      </c>
    </row>
    <row r="18" ht="36" customHeight="1">
      <c r="A18" s="4" t="n">
        <v>10813</v>
      </c>
      <c r="B18" s="4" t="inlineStr">
        <is>
          <t>서무영</t>
        </is>
      </c>
      <c r="C18" s="4" t="inlineStr">
        <is>
          <t>습관형성</t>
        </is>
      </c>
      <c r="D18" s="5" t="inlineStr">
        <is>
          <t>하루 영어단어 10개 암기 습관</t>
        </is>
      </c>
      <c r="E18" s="4" t="inlineStr">
        <is>
          <t>○</t>
        </is>
      </c>
      <c r="F18" s="4" t="inlineStr">
        <is>
          <t>상</t>
        </is>
      </c>
      <c r="G18" s="4" t="inlineStr">
        <is>
          <t>○</t>
        </is>
      </c>
      <c r="H18" s="4" t="inlineStr">
        <is>
          <t>중</t>
        </is>
      </c>
      <c r="I18" s="4" t="inlineStr">
        <is>
          <t>○</t>
        </is>
      </c>
      <c r="J18" s="4" t="inlineStr">
        <is>
          <t>상</t>
        </is>
      </c>
      <c r="K18" s="4" t="n"/>
      <c r="L18" s="4" t="n"/>
      <c r="M18" s="4" t="n"/>
      <c r="N18" s="4" t="n"/>
      <c r="O18" s="4" t="n"/>
      <c r="P18" s="4" t="n"/>
      <c r="Q18" s="4" t="n"/>
      <c r="R18" s="4" t="n"/>
      <c r="S18" s="4" t="n"/>
      <c r="T18" s="4" t="n"/>
      <c r="U18" s="4">
        <f>COUNTIF(E18:T18,"○")</f>
        <v/>
      </c>
      <c r="V18" s="4">
        <f>COUNTIF(E18:T18,"상")</f>
        <v/>
      </c>
      <c r="W18" s="5" t="inlineStr">
        <is>
          <t>P-1 작성 → P-2 장애물 미기재 → P-3 6/7일 실천, 수요일 50개 후 점차 감소</t>
        </is>
      </c>
    </row>
    <row r="19" ht="36" customHeight="1">
      <c r="A19" s="4" t="n">
        <v>10814</v>
      </c>
      <c r="B19" s="4" t="inlineStr">
        <is>
          <t>송지우</t>
        </is>
      </c>
      <c r="C19" s="4" t="inlineStr">
        <is>
          <t>진로독서</t>
        </is>
      </c>
      <c r="D19" s="5" t="inlineStr">
        <is>
          <t>『미래를 바꾸는 의생명 공학 이야기』</t>
        </is>
      </c>
      <c r="E19" s="4" t="inlineStr">
        <is>
          <t>○</t>
        </is>
      </c>
      <c r="F19" s="4" t="inlineStr">
        <is>
          <t>중</t>
        </is>
      </c>
      <c r="G19" s="4" t="inlineStr">
        <is>
          <t>○</t>
        </is>
      </c>
      <c r="H19" s="4" t="inlineStr">
        <is>
          <t>상</t>
        </is>
      </c>
      <c r="I19" s="4" t="inlineStr">
        <is>
          <t>○</t>
        </is>
      </c>
      <c r="J19" s="4" t="inlineStr">
        <is>
          <t>상</t>
        </is>
      </c>
      <c r="K19" s="4" t="n"/>
      <c r="L19" s="4" t="n"/>
      <c r="M19" s="4" t="n"/>
      <c r="N19" s="4" t="n"/>
      <c r="O19" s="4" t="n"/>
      <c r="P19" s="4" t="n"/>
      <c r="Q19" s="4" t="n"/>
      <c r="R19" s="4" t="n"/>
      <c r="S19" s="4" t="n"/>
      <c r="T19" s="4" t="n"/>
      <c r="U19" s="4">
        <f>COUNTIF(E19:T19,"○")</f>
        <v/>
      </c>
      <c r="V19" s="4">
        <f>COUNTIF(E19:T19,"상")</f>
        <v/>
      </c>
      <c r="W19" s="5" t="inlineStr">
        <is>
          <t>P-1 계획표 제외 작성 → P-2 도서 확정 → P-3 도서 3칸 모두 구체적(줄기세포 장 선택)</t>
        </is>
      </c>
    </row>
    <row r="20" ht="36" customHeight="1">
      <c r="A20" s="4" t="n">
        <v>10815</v>
      </c>
      <c r="B20" s="4" t="inlineStr">
        <is>
          <t>신주원</t>
        </is>
      </c>
      <c r="C20" s="4" t="inlineStr">
        <is>
          <t>진로독서</t>
        </is>
      </c>
      <c r="D20" s="5" t="inlineStr">
        <is>
          <t>『다정한 물리학』</t>
        </is>
      </c>
      <c r="E20" s="4" t="inlineStr">
        <is>
          <t>○</t>
        </is>
      </c>
      <c r="F20" s="4" t="inlineStr">
        <is>
          <t>중</t>
        </is>
      </c>
      <c r="G20" s="4" t="inlineStr">
        <is>
          <t>○</t>
        </is>
      </c>
      <c r="H20" s="4" t="inlineStr">
        <is>
          <t>중</t>
        </is>
      </c>
      <c r="I20" s="4" t="inlineStr">
        <is>
          <t>○</t>
        </is>
      </c>
      <c r="J20" s="4" t="inlineStr">
        <is>
          <t>상</t>
        </is>
      </c>
      <c r="K20" s="4" t="n"/>
      <c r="L20" s="4" t="n"/>
      <c r="M20" s="4" t="n"/>
      <c r="N20" s="4" t="n"/>
      <c r="O20" s="4" t="n"/>
      <c r="P20" s="4" t="n"/>
      <c r="Q20" s="4" t="n"/>
      <c r="R20" s="4" t="n"/>
      <c r="S20" s="4" t="n"/>
      <c r="T20" s="4" t="n"/>
      <c r="U20" s="4">
        <f>COUNTIF(E20:T20,"○")</f>
        <v/>
      </c>
      <c r="V20" s="4">
        <f>COUNTIF(E20:T20,"상")</f>
        <v/>
      </c>
      <c r="W20" s="5" t="inlineStr">
        <is>
          <t>P-1 후보 도서 제외 작성 → P-2 후보 도서 1권 → P-3 3칸 모두 작성, 진로 연결은 약함('문과도 물리학?')</t>
        </is>
      </c>
    </row>
    <row r="21" ht="36" customHeight="1">
      <c r="A21" s="4" t="n">
        <v>10816</v>
      </c>
      <c r="B21" s="4" t="inlineStr">
        <is>
          <t>유태석</t>
        </is>
      </c>
      <c r="C21" s="4" t="inlineStr">
        <is>
          <t>진로독서</t>
        </is>
      </c>
      <c r="D21" s="5" t="inlineStr">
        <is>
          <t>최종 도서 미정(후보: 『꿈을 찾는 진로 상담소』)</t>
        </is>
      </c>
      <c r="E21" s="4" t="inlineStr">
        <is>
          <t>○</t>
        </is>
      </c>
      <c r="F21" s="4" t="inlineStr">
        <is>
          <t>중</t>
        </is>
      </c>
      <c r="G21" s="4" t="inlineStr">
        <is>
          <t>○</t>
        </is>
      </c>
      <c r="H21" s="4" t="inlineStr">
        <is>
          <t>하</t>
        </is>
      </c>
      <c r="I21" s="4" t="inlineStr">
        <is>
          <t>×</t>
        </is>
      </c>
      <c r="J21" s="4" t="n"/>
      <c r="K21" s="4" t="n"/>
      <c r="L21" s="4" t="n"/>
      <c r="M21" s="4" t="n"/>
      <c r="N21" s="4" t="n"/>
      <c r="O21" s="4" t="n"/>
      <c r="P21" s="4" t="n"/>
      <c r="Q21" s="4" t="n"/>
      <c r="R21" s="4" t="n"/>
      <c r="S21" s="4" t="n"/>
      <c r="T21" s="4" t="n"/>
      <c r="U21" s="4">
        <f>COUNTIF(E21:T21,"○")</f>
        <v/>
      </c>
      <c r="V21" s="4">
        <f>COUNTIF(E21:T21,"상")</f>
        <v/>
      </c>
      <c r="W21" s="5" t="inlineStr">
        <is>
          <t>P-1 일부 작성 → P-2 최종 도서 미정 → P-3 미제출</t>
        </is>
      </c>
    </row>
    <row r="22" ht="36" customHeight="1">
      <c r="A22" s="4" t="n">
        <v>10817</v>
      </c>
      <c r="B22" s="4" t="inlineStr">
        <is>
          <t>이건민</t>
        </is>
      </c>
      <c r="C22" s="4" t="inlineStr">
        <is>
          <t>습관형성</t>
        </is>
      </c>
      <c r="D22" s="5" t="inlineStr">
        <is>
          <t>남는 시간에 국어 문제 푸는 습관</t>
        </is>
      </c>
      <c r="E22" s="4" t="inlineStr">
        <is>
          <t>○</t>
        </is>
      </c>
      <c r="F22" s="4" t="inlineStr">
        <is>
          <t>하</t>
        </is>
      </c>
      <c r="G22" s="4" t="inlineStr">
        <is>
          <t>○</t>
        </is>
      </c>
      <c r="H22" s="4" t="inlineStr">
        <is>
          <t>중</t>
        </is>
      </c>
      <c r="I22" s="4" t="inlineStr">
        <is>
          <t>○</t>
        </is>
      </c>
      <c r="J22" s="4" t="inlineStr">
        <is>
          <t>중</t>
        </is>
      </c>
      <c r="K22" s="4" t="n"/>
      <c r="L22" s="4" t="n"/>
      <c r="M22" s="4" t="n"/>
      <c r="N22" s="4" t="n"/>
      <c r="O22" s="4" t="n"/>
      <c r="P22" s="4" t="n"/>
      <c r="Q22" s="4" t="n"/>
      <c r="R22" s="4" t="n"/>
      <c r="S22" s="4" t="n"/>
      <c r="T22" s="4" t="n"/>
      <c r="U22" s="4">
        <f>COUNTIF(E22:T22,"○")</f>
        <v/>
      </c>
      <c r="V22" s="4">
        <f>COUNTIF(E22:T22,"상")</f>
        <v/>
      </c>
      <c r="W22" s="5" t="inlineStr">
        <is>
          <t>P-1 선택 이유만 → P-2 장애물 미기재 → P-3 1/7일 실천(추석 연휴로 시골), 요일별 기록은 모두 작성</t>
        </is>
      </c>
    </row>
    <row r="23" ht="36" customHeight="1">
      <c r="A23" s="4" t="n">
        <v>10818</v>
      </c>
      <c r="B23" s="4" t="inlineStr">
        <is>
          <t>이주희</t>
        </is>
      </c>
      <c r="C23" s="4" t="inlineStr">
        <is>
          <t>주제탐구</t>
        </is>
      </c>
      <c r="D23" s="5" t="inlineStr">
        <is>
          <t>호흡 과정과 호흡기 구조</t>
        </is>
      </c>
      <c r="E23" s="4" t="inlineStr">
        <is>
          <t>○</t>
        </is>
      </c>
      <c r="F23" s="4" t="inlineStr">
        <is>
          <t>중</t>
        </is>
      </c>
      <c r="G23" s="4" t="inlineStr">
        <is>
          <t>○</t>
        </is>
      </c>
      <c r="H23" s="4" t="inlineStr">
        <is>
          <t>상</t>
        </is>
      </c>
      <c r="I23" s="4" t="inlineStr">
        <is>
          <t>○</t>
        </is>
      </c>
      <c r="J23" s="4" t="inlineStr">
        <is>
          <t>상</t>
        </is>
      </c>
      <c r="K23" s="4" t="n"/>
      <c r="L23" s="4" t="n"/>
      <c r="M23" s="4" t="n"/>
      <c r="N23" s="4" t="n"/>
      <c r="O23" s="4" t="n"/>
      <c r="P23" s="4" t="n"/>
      <c r="Q23" s="4" t="n"/>
      <c r="R23" s="4" t="n"/>
      <c r="S23" s="4" t="n"/>
      <c r="T23" s="4" t="n"/>
      <c r="U23" s="4">
        <f>COUNTIF(E23:T23,"○")</f>
        <v/>
      </c>
      <c r="V23" s="4">
        <f>COUNTIF(E23:T23,"상")</f>
        <v/>
      </c>
      <c r="W23" s="5" t="inlineStr">
        <is>
          <t>P-1 일부+보완본 → P-2 작성 → P-3 자료 5개를 호흡 과정 순서로 정리, 들숨·날숨 비교표 작성</t>
        </is>
      </c>
    </row>
    <row r="24" ht="36" customHeight="1">
      <c r="A24" s="4" t="n">
        <v>10819</v>
      </c>
      <c r="B24" s="4" t="inlineStr">
        <is>
          <t>이지웅</t>
        </is>
      </c>
      <c r="C24" s="4" t="inlineStr">
        <is>
          <t>주제탐구</t>
        </is>
      </c>
      <c r="D24" s="5" t="inlineStr">
        <is>
          <t>농구 감독의 컨디션·역할과 팀 전략</t>
        </is>
      </c>
      <c r="E24" s="4" t="inlineStr">
        <is>
          <t>○</t>
        </is>
      </c>
      <c r="F24" s="4" t="inlineStr">
        <is>
          <t>하</t>
        </is>
      </c>
      <c r="G24" s="4" t="inlineStr">
        <is>
          <t>○</t>
        </is>
      </c>
      <c r="H24" s="4" t="inlineStr">
        <is>
          <t>상</t>
        </is>
      </c>
      <c r="I24" s="4" t="inlineStr">
        <is>
          <t>○</t>
        </is>
      </c>
      <c r="J24" s="4" t="inlineStr">
        <is>
          <t>하</t>
        </is>
      </c>
      <c r="K24" s="4" t="n"/>
      <c r="L24" s="4" t="n"/>
      <c r="M24" s="4" t="n"/>
      <c r="N24" s="4" t="n"/>
      <c r="O24" s="4" t="n"/>
      <c r="P24" s="4" t="n"/>
      <c r="Q24" s="4" t="n"/>
      <c r="R24" s="4" t="n"/>
      <c r="S24" s="4" t="n"/>
      <c r="T24" s="4" t="n"/>
      <c r="U24" s="4">
        <f>COUNTIF(E24:T24,"○")</f>
        <v/>
      </c>
      <c r="V24" s="4">
        <f>COUNTIF(E24:T24,"상")</f>
        <v/>
      </c>
      <c r="W24" s="5" t="inlineStr">
        <is>
          <t>P-1 거의 미기재(트랙 미선택) → P-2 작성 → P-3 빈 활동지 제출(전 항목 미기재)</t>
        </is>
      </c>
    </row>
    <row r="25" ht="36" customHeight="1">
      <c r="A25" s="4" t="n">
        <v>10820</v>
      </c>
      <c r="B25" s="4" t="inlineStr">
        <is>
          <t>장승빈</t>
        </is>
      </c>
      <c r="C25" s="4" t="inlineStr">
        <is>
          <t>진로독서</t>
        </is>
      </c>
      <c r="D25" s="5" t="inlineStr">
        <is>
          <t>『다정한 물리학』</t>
        </is>
      </c>
      <c r="E25" s="4" t="inlineStr">
        <is>
          <t>○</t>
        </is>
      </c>
      <c r="F25" s="4" t="inlineStr">
        <is>
          <t>상</t>
        </is>
      </c>
      <c r="G25" s="4" t="inlineStr">
        <is>
          <t>○</t>
        </is>
      </c>
      <c r="H25" s="4" t="inlineStr">
        <is>
          <t>중</t>
        </is>
      </c>
      <c r="I25" s="4" t="inlineStr">
        <is>
          <t>○</t>
        </is>
      </c>
      <c r="J25" s="4" t="inlineStr">
        <is>
          <t>상</t>
        </is>
      </c>
      <c r="K25" s="4" t="n"/>
      <c r="L25" s="4" t="n"/>
      <c r="M25" s="4" t="n"/>
      <c r="N25" s="4" t="n"/>
      <c r="O25" s="4" t="n"/>
      <c r="P25" s="4" t="n"/>
      <c r="Q25" s="4" t="n"/>
      <c r="R25" s="4" t="n"/>
      <c r="S25" s="4" t="n"/>
      <c r="T25" s="4" t="n"/>
      <c r="U25" s="4">
        <f>COUNTIF(E25:T25,"○")</f>
        <v/>
      </c>
      <c r="V25" s="4">
        <f>COUNTIF(E25:T25,"상")</f>
        <v/>
      </c>
      <c r="W25" s="5" t="inlineStr">
        <is>
          <t>P-1 작성 → P-2 후보 도서 1권 → P-3 3칸 모두 작성('문·이과 통합' 확인 질문)</t>
        </is>
      </c>
    </row>
    <row r="26" ht="36" customHeight="1">
      <c r="A26" s="4" t="n">
        <v>10821</v>
      </c>
      <c r="B26" s="4" t="inlineStr">
        <is>
          <t>장준혁</t>
        </is>
      </c>
      <c r="C26" s="4" t="inlineStr">
        <is>
          <t>주제탐구</t>
        </is>
      </c>
      <c r="D26" s="5" t="inlineStr">
        <is>
          <t>체육수업이 학생들에게 주는 영향(P-3에서 주제 변경)</t>
        </is>
      </c>
      <c r="E26" s="4" t="inlineStr">
        <is>
          <t>○</t>
        </is>
      </c>
      <c r="F26" s="4" t="inlineStr">
        <is>
          <t>중</t>
        </is>
      </c>
      <c r="G26" s="4" t="inlineStr">
        <is>
          <t>○</t>
        </is>
      </c>
      <c r="H26" s="4" t="inlineStr">
        <is>
          <t>상</t>
        </is>
      </c>
      <c r="I26" s="4" t="inlineStr">
        <is>
          <t>○</t>
        </is>
      </c>
      <c r="J26" s="4" t="inlineStr">
        <is>
          <t>상</t>
        </is>
      </c>
      <c r="K26" s="4" t="n"/>
      <c r="L26" s="4" t="n"/>
      <c r="M26" s="4" t="n"/>
      <c r="N26" s="4" t="n"/>
      <c r="O26" s="4" t="n"/>
      <c r="P26" s="4" t="n"/>
      <c r="Q26" s="4" t="n"/>
      <c r="R26" s="4" t="n"/>
      <c r="S26" s="4" t="n"/>
      <c r="T26" s="4" t="n"/>
      <c r="U26" s="4">
        <f>COUNTIF(E26:T26,"○")</f>
        <v/>
      </c>
      <c r="V26" s="4">
        <f>COUNTIF(E26:T26,"상")</f>
        <v/>
      </c>
      <c r="W26" s="5" t="inlineStr">
        <is>
          <t>P-1 일부+보완본 → P-2 작성 → P-3 DBpia 자료 4개 요약(짝과 동일), 주제를 체육수업 전반으로 변경</t>
        </is>
      </c>
    </row>
    <row r="27" ht="36" customHeight="1">
      <c r="A27" s="4" t="n">
        <v>10822</v>
      </c>
      <c r="B27" s="4" t="inlineStr">
        <is>
          <t>최시우</t>
        </is>
      </c>
      <c r="C27" s="4" t="inlineStr">
        <is>
          <t>주제탐구</t>
        </is>
      </c>
      <c r="D27" s="5" t="inlineStr">
        <is>
          <t>미국 관세정책이 세계 정세에 미친 영향</t>
        </is>
      </c>
      <c r="E27" s="4" t="inlineStr">
        <is>
          <t>○</t>
        </is>
      </c>
      <c r="F27" s="4" t="inlineStr">
        <is>
          <t>상</t>
        </is>
      </c>
      <c r="G27" s="4" t="inlineStr">
        <is>
          <t>○</t>
        </is>
      </c>
      <c r="H27" s="4" t="inlineStr">
        <is>
          <t>상</t>
        </is>
      </c>
      <c r="I27" s="4" t="inlineStr">
        <is>
          <t>○</t>
        </is>
      </c>
      <c r="J27" s="4" t="inlineStr">
        <is>
          <t>중</t>
        </is>
      </c>
      <c r="K27" s="4" t="n"/>
      <c r="L27" s="4" t="n"/>
      <c r="M27" s="4" t="n"/>
      <c r="N27" s="4" t="n"/>
      <c r="O27" s="4" t="n"/>
      <c r="P27" s="4" t="n"/>
      <c r="Q27" s="4" t="n"/>
      <c r="R27" s="4" t="n"/>
      <c r="S27" s="4" t="n"/>
      <c r="T27" s="4" t="n"/>
      <c r="U27" s="4">
        <f>COUNTIF(E27:T27,"○")</f>
        <v/>
      </c>
      <c r="V27" s="4">
        <f>COUNTIF(E27:T27,"상")</f>
        <v/>
      </c>
      <c r="W27" s="5" t="inlineStr">
        <is>
          <t>P-1 작성 → P-2 작성 → P-3 관세 개념 자료 1건(짝과 동일)</t>
        </is>
      </c>
    </row>
    <row r="28" ht="36" customHeight="1">
      <c r="A28" s="4" t="n">
        <v>10823</v>
      </c>
      <c r="B28" s="4" t="inlineStr">
        <is>
          <t>한아인</t>
        </is>
      </c>
      <c r="C28" s="4" t="inlineStr">
        <is>
          <t>진로독서</t>
        </is>
      </c>
      <c r="D28" s="5" t="inlineStr">
        <is>
          <t>『우리에게는 헌법이 있다』</t>
        </is>
      </c>
      <c r="E28" s="4" t="inlineStr">
        <is>
          <t>○</t>
        </is>
      </c>
      <c r="F28" s="4" t="inlineStr">
        <is>
          <t>상</t>
        </is>
      </c>
      <c r="G28" s="4" t="inlineStr">
        <is>
          <t>○</t>
        </is>
      </c>
      <c r="H28" s="4" t="inlineStr">
        <is>
          <t>상</t>
        </is>
      </c>
      <c r="I28" s="4" t="inlineStr">
        <is>
          <t>○</t>
        </is>
      </c>
      <c r="J28" s="4" t="inlineStr">
        <is>
          <t>상</t>
        </is>
      </c>
      <c r="K28" s="4" t="n"/>
      <c r="L28" s="4" t="n"/>
      <c r="M28" s="4" t="n"/>
      <c r="N28" s="4" t="n"/>
      <c r="O28" s="4" t="n"/>
      <c r="P28" s="4" t="n"/>
      <c r="Q28" s="4" t="n"/>
      <c r="R28" s="4" t="n"/>
      <c r="S28" s="4" t="n"/>
      <c r="T28" s="4" t="n"/>
      <c r="U28" s="4">
        <f>COUNTIF(E28:T28,"○")</f>
        <v/>
      </c>
      <c r="V28" s="4">
        <f>COUNTIF(E28:T28,"상")</f>
        <v/>
      </c>
      <c r="W28" s="5" t="inlineStr">
        <is>
          <t>P-1 다짐 제외 작성 → P-2 작성 → P-3 목차 인용과 궁금한 점을 구체적으로 작성</t>
        </is>
      </c>
    </row>
    <row r="30">
      <c r="A30" s="10" t="inlineStr">
        <is>
          <t>제출 인원(○)</t>
        </is>
      </c>
      <c r="B30" s="10" t="n"/>
      <c r="C30" s="10" t="n"/>
      <c r="D30" s="10" t="n"/>
      <c r="E30" s="10">
        <f>IF(COUNTA(E6:E28)=0,"",COUNTIF(E6:E28,"○"))</f>
        <v/>
      </c>
      <c r="F30" s="10" t="n"/>
      <c r="G30" s="10">
        <f>IF(COUNTA(G6:G28)=0,"",COUNTIF(G6:G28,"○"))</f>
        <v/>
      </c>
      <c r="H30" s="10" t="n"/>
      <c r="I30" s="10">
        <f>IF(COUNTA(I6:I28)=0,"",COUNTIF(I6:I28,"○"))</f>
        <v/>
      </c>
      <c r="J30" s="10" t="n"/>
      <c r="K30" s="10">
        <f>IF(COUNTA(K6:K28)=0,"",COUNTIF(K6:K28,"○"))</f>
        <v/>
      </c>
      <c r="L30" s="10" t="n"/>
      <c r="M30" s="10">
        <f>IF(COUNTA(M6:M28)=0,"",COUNTIF(M6:M28,"○"))</f>
        <v/>
      </c>
      <c r="N30" s="10" t="n"/>
      <c r="O30" s="10">
        <f>IF(COUNTA(O6:O28)=0,"",COUNTIF(O6:O28,"○"))</f>
        <v/>
      </c>
      <c r="P30" s="10" t="n"/>
      <c r="Q30" s="10">
        <f>IF(COUNTA(Q6:Q28)=0,"",COUNTIF(Q6:Q28,"○"))</f>
        <v/>
      </c>
      <c r="R30" s="10" t="n"/>
      <c r="S30" s="10">
        <f>IF(COUNTA(S6:S28)=0,"",COUNTIF(S6:S28,"○"))</f>
        <v/>
      </c>
      <c r="T30" s="10" t="n"/>
      <c r="U30" s="10" t="n"/>
      <c r="V30" s="10" t="n"/>
      <c r="W30" s="10" t="n"/>
    </row>
    <row r="31">
      <c r="A31" s="10" t="inlineStr">
        <is>
          <t>미제출(×)</t>
        </is>
      </c>
      <c r="B31" s="10" t="n"/>
      <c r="C31" s="10" t="n"/>
      <c r="D31" s="10" t="n"/>
      <c r="E31" s="10">
        <f>IF(COUNTA(E6:E28)=0,"",COUNTIF(E6:E28,"×"))</f>
        <v/>
      </c>
      <c r="F31" s="10" t="n"/>
      <c r="G31" s="10">
        <f>IF(COUNTA(G6:G28)=0,"",COUNTIF(G6:G28,"×"))</f>
        <v/>
      </c>
      <c r="H31" s="10" t="n"/>
      <c r="I31" s="10">
        <f>IF(COUNTA(I6:I28)=0,"",COUNTIF(I6:I28,"×"))</f>
        <v/>
      </c>
      <c r="J31" s="10" t="n"/>
      <c r="K31" s="10">
        <f>IF(COUNTA(K6:K28)=0,"",COUNTIF(K6:K28,"×"))</f>
        <v/>
      </c>
      <c r="L31" s="10" t="n"/>
      <c r="M31" s="10">
        <f>IF(COUNTA(M6:M28)=0,"",COUNTIF(M6:M28,"×"))</f>
        <v/>
      </c>
      <c r="N31" s="10" t="n"/>
      <c r="O31" s="10">
        <f>IF(COUNTA(O6:O28)=0,"",COUNTIF(O6:O28,"×"))</f>
        <v/>
      </c>
      <c r="P31" s="10" t="n"/>
      <c r="Q31" s="10">
        <f>IF(COUNTA(Q6:Q28)=0,"",COUNTIF(Q6:Q28,"×"))</f>
        <v/>
      </c>
      <c r="R31" s="10" t="n"/>
      <c r="S31" s="10">
        <f>IF(COUNTA(S6:S28)=0,"",COUNTIF(S6:S28,"×"))</f>
        <v/>
      </c>
      <c r="T31" s="10" t="n"/>
      <c r="U31" s="10" t="n"/>
      <c r="V31" s="10" t="n"/>
      <c r="W31" s="10" t="n"/>
    </row>
    <row r="32">
      <c r="A32" s="10" t="inlineStr">
        <is>
          <t>상</t>
        </is>
      </c>
      <c r="B32" s="10" t="n"/>
      <c r="C32" s="10" t="n"/>
      <c r="D32" s="10" t="n"/>
      <c r="E32" s="10" t="n"/>
      <c r="F32" s="10">
        <f>IF(COUNTA(F6:F28)=0,"",COUNTIF(F6:F28,"상"))</f>
        <v/>
      </c>
      <c r="G32" s="10" t="n"/>
      <c r="H32" s="10">
        <f>IF(COUNTA(H6:H28)=0,"",COUNTIF(H6:H28,"상"))</f>
        <v/>
      </c>
      <c r="I32" s="10" t="n"/>
      <c r="J32" s="10">
        <f>IF(COUNTA(J6:J28)=0,"",COUNTIF(J6:J28,"상"))</f>
        <v/>
      </c>
      <c r="K32" s="10" t="n"/>
      <c r="L32" s="10">
        <f>IF(COUNTA(L6:L28)=0,"",COUNTIF(L6:L28,"상"))</f>
        <v/>
      </c>
      <c r="M32" s="10" t="n"/>
      <c r="N32" s="10">
        <f>IF(COUNTA(N6:N28)=0,"",COUNTIF(N6:N28,"상"))</f>
        <v/>
      </c>
      <c r="O32" s="10" t="n"/>
      <c r="P32" s="10">
        <f>IF(COUNTA(P6:P28)=0,"",COUNTIF(P6:P28,"상"))</f>
        <v/>
      </c>
      <c r="Q32" s="10" t="n"/>
      <c r="R32" s="10">
        <f>IF(COUNTA(R6:R28)=0,"",COUNTIF(R6:R28,"상"))</f>
        <v/>
      </c>
      <c r="S32" s="10" t="n"/>
      <c r="T32" s="10">
        <f>IF(COUNTA(T6:T28)=0,"",COUNTIF(T6:T28,"상"))</f>
        <v/>
      </c>
      <c r="U32" s="10" t="n"/>
      <c r="V32" s="10" t="n"/>
      <c r="W32" s="10" t="n"/>
    </row>
    <row r="33">
      <c r="A33" s="10" t="inlineStr">
        <is>
          <t>중</t>
        </is>
      </c>
      <c r="B33" s="10" t="n"/>
      <c r="C33" s="10" t="n"/>
      <c r="D33" s="10" t="n"/>
      <c r="E33" s="10" t="n"/>
      <c r="F33" s="10">
        <f>IF(COUNTA(F6:F28)=0,"",COUNTIF(F6:F28,"중"))</f>
        <v/>
      </c>
      <c r="G33" s="10" t="n"/>
      <c r="H33" s="10">
        <f>IF(COUNTA(H6:H28)=0,"",COUNTIF(H6:H28,"중"))</f>
        <v/>
      </c>
      <c r="I33" s="10" t="n"/>
      <c r="J33" s="10">
        <f>IF(COUNTA(J6:J28)=0,"",COUNTIF(J6:J28,"중"))</f>
        <v/>
      </c>
      <c r="K33" s="10" t="n"/>
      <c r="L33" s="10">
        <f>IF(COUNTA(L6:L28)=0,"",COUNTIF(L6:L28,"중"))</f>
        <v/>
      </c>
      <c r="M33" s="10" t="n"/>
      <c r="N33" s="10">
        <f>IF(COUNTA(N6:N28)=0,"",COUNTIF(N6:N28,"중"))</f>
        <v/>
      </c>
      <c r="O33" s="10" t="n"/>
      <c r="P33" s="10">
        <f>IF(COUNTA(P6:P28)=0,"",COUNTIF(P6:P28,"중"))</f>
        <v/>
      </c>
      <c r="Q33" s="10" t="n"/>
      <c r="R33" s="10">
        <f>IF(COUNTA(R6:R28)=0,"",COUNTIF(R6:R28,"중"))</f>
        <v/>
      </c>
      <c r="S33" s="10" t="n"/>
      <c r="T33" s="10">
        <f>IF(COUNTA(T6:T28)=0,"",COUNTIF(T6:T28,"중"))</f>
        <v/>
      </c>
      <c r="U33" s="10" t="n"/>
      <c r="V33" s="10" t="n"/>
      <c r="W33" s="10" t="n"/>
    </row>
    <row r="34">
      <c r="A34" s="10" t="inlineStr">
        <is>
          <t>하</t>
        </is>
      </c>
      <c r="B34" s="10" t="n"/>
      <c r="C34" s="10" t="n"/>
      <c r="D34" s="10" t="n"/>
      <c r="E34" s="10" t="n"/>
      <c r="F34" s="10">
        <f>IF(COUNTA(F6:F28)=0,"",COUNTIF(F6:F28,"하"))</f>
        <v/>
      </c>
      <c r="G34" s="10" t="n"/>
      <c r="H34" s="10">
        <f>IF(COUNTA(H6:H28)=0,"",COUNTIF(H6:H28,"하"))</f>
        <v/>
      </c>
      <c r="I34" s="10" t="n"/>
      <c r="J34" s="10">
        <f>IF(COUNTA(J6:J28)=0,"",COUNTIF(J6:J28,"하"))</f>
        <v/>
      </c>
      <c r="K34" s="10" t="n"/>
      <c r="L34" s="10">
        <f>IF(COUNTA(L6:L28)=0,"",COUNTIF(L6:L28,"하"))</f>
        <v/>
      </c>
      <c r="M34" s="10" t="n"/>
      <c r="N34" s="10">
        <f>IF(COUNTA(N6:N28)=0,"",COUNTIF(N6:N28,"하"))</f>
        <v/>
      </c>
      <c r="O34" s="10" t="n"/>
      <c r="P34" s="10">
        <f>IF(COUNTA(P6:P28)=0,"",COUNTIF(P6:P28,"하"))</f>
        <v/>
      </c>
      <c r="Q34" s="10" t="n"/>
      <c r="R34" s="10">
        <f>IF(COUNTA(R6:R28)=0,"",COUNTIF(R6:R28,"하"))</f>
        <v/>
      </c>
      <c r="S34" s="10" t="n"/>
      <c r="T34" s="10">
        <f>IF(COUNTA(T6:T28)=0,"",COUNTIF(T6:T28,"하"))</f>
        <v/>
      </c>
      <c r="U34" s="10" t="n"/>
      <c r="V34" s="10" t="n"/>
      <c r="W34" s="10" t="n"/>
    </row>
  </sheetData>
  <mergeCells count="22">
    <mergeCell ref="C4:C5"/>
    <mergeCell ref="V4:V5"/>
    <mergeCell ref="E4:F4"/>
    <mergeCell ref="A1:W1"/>
    <mergeCell ref="A31:D31"/>
    <mergeCell ref="A32:D32"/>
    <mergeCell ref="A34:D34"/>
    <mergeCell ref="D4:D5"/>
    <mergeCell ref="A30:D30"/>
    <mergeCell ref="O4:P4"/>
    <mergeCell ref="Q4:R4"/>
    <mergeCell ref="A4:A5"/>
    <mergeCell ref="U4:U5"/>
    <mergeCell ref="A2:W2"/>
    <mergeCell ref="G4:H4"/>
    <mergeCell ref="I4:J4"/>
    <mergeCell ref="B4:B5"/>
    <mergeCell ref="W4:W5"/>
    <mergeCell ref="A33:D33"/>
    <mergeCell ref="K4:L4"/>
    <mergeCell ref="M4:N4"/>
    <mergeCell ref="S4:T4"/>
  </mergeCells>
  <conditionalFormatting sqref="E6:T28">
    <cfRule type="cellIs" priority="1" operator="equal" dxfId="0">
      <formula>"상"</formula>
    </cfRule>
    <cfRule type="cellIs" priority="2" operator="equal" dxfId="1">
      <formula>"중"</formula>
    </cfRule>
    <cfRule type="cellIs" priority="3" operator="equal" dxfId="2">
      <formula>"하"</formula>
    </cfRule>
    <cfRule type="cellIs" priority="4" operator="equal" dxfId="3">
      <formula>"×"</formula>
    </cfRule>
  </conditionalFormatting>
  <dataValidations count="2">
    <dataValidation sqref="E6:E28 G6:G28 I6:I28 K6:K28 M6:M28 O6:O28 Q6:Q28 S6:S28" showDropDown="0" showInputMessage="0" showErrorMessage="0" allowBlank="1" type="list">
      <formula1>"○,×"</formula1>
    </dataValidation>
    <dataValidation sqref="F6:F28 H6:H28 J6:J28 L6:L28 N6:N28 P6:P28 R6:R28 T6:T28" showDropDown="0" showInputMessage="0" showErrorMessage="0" allowBlank="1" type="list">
      <formula1>"상,중,하"</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0" customWidth="1" min="1" max="1"/>
    <col width="30" customWidth="1" min="2" max="2"/>
    <col width="50" customWidth="1" min="3" max="3"/>
    <col width="22" customWidth="1" min="4" max="4"/>
    <col width="16" customWidth="1" min="5" max="5"/>
    <col width="22" customWidth="1" min="6" max="6"/>
    <col width="24" customWidth="1" min="7" max="7"/>
  </cols>
  <sheetData>
    <row r="1">
      <c r="A1" s="1" t="inlineStr">
        <is>
          <t>2026학년도 1학년 8반 진로수업 차시 목록 및 스캔 반영 현황</t>
        </is>
      </c>
    </row>
    <row r="3">
      <c r="A3" s="3" t="inlineStr">
        <is>
          <t>차시</t>
        </is>
      </c>
      <c r="B3" s="3" t="inlineStr">
        <is>
          <t>활동명</t>
        </is>
      </c>
      <c r="C3" s="3" t="inlineStr">
        <is>
          <t>학습목표/개요</t>
        </is>
      </c>
      <c r="D3" s="3" t="inlineStr">
        <is>
          <t>스캔 반영 현황</t>
        </is>
      </c>
    </row>
    <row r="4" ht="60" customHeight="1">
      <c r="A4" s="5" t="inlineStr">
        <is>
          <t>1-1</t>
        </is>
      </c>
      <c r="B4" s="5" t="inlineStr">
        <is>
          <t>진로수업 OT</t>
        </is>
      </c>
      <c r="C4" s="5" t="inlineStr">
        <is>
          <t>진로선생님 진진가 퀴즈, 나 진진가 자기소개, 진로활동 안내(자기이해→직업세계→진로탐색→설계), 진로활동 질문지, 진로수업 약속·다짐</t>
        </is>
      </c>
      <c r="D4" s="5" t="inlineStr">
        <is>
          <t>23명 전원 반영</t>
        </is>
      </c>
    </row>
    <row r="5" ht="60" customHeight="1">
      <c r="A5" s="5" t="inlineStr">
        <is>
          <t>1-2</t>
        </is>
      </c>
      <c r="B5" s="5" t="inlineStr">
        <is>
          <t>나의 3년을 담는 기록장_학교생활기록부</t>
        </is>
      </c>
      <c r="C5" s="5" t="inlineStr">
        <is>
          <t>학교생활기록부 항목 이해, 영상 시청하며 수시·정시, 5등급제 내신, 고교학점제, 세특, 창체, 2028 수능 변화 빈칸 채우기</t>
        </is>
      </c>
      <c r="D5" s="5" t="inlineStr">
        <is>
          <t>21명 반영(10805·10819는 1-2 활동지 없음)</t>
        </is>
      </c>
    </row>
    <row r="6" ht="60" customHeight="1">
      <c r="A6" s="5" t="inlineStr">
        <is>
          <t>1-3</t>
        </is>
      </c>
      <c r="B6" s="5" t="inlineStr">
        <is>
          <t>고등학교 내신 산출의 이해</t>
        </is>
      </c>
      <c r="C6" s="5" t="inlineStr">
        <is>
          <t>중학교(절대평가) vs 고등학교(상대평가) 비교, 277명 기준 등급 커트라인 계산, 등급 결정 변수, 1차 정기시험 목표·계획 세우기</t>
        </is>
      </c>
      <c r="D6" s="5" t="inlineStr">
        <is>
          <t>20명 반영(10809·10814·10819는 1-3 활동지 없음)</t>
        </is>
      </c>
    </row>
    <row r="7" ht="60" customHeight="1">
      <c r="A7" s="5" t="inlineStr">
        <is>
          <t>1-4</t>
        </is>
      </c>
      <c r="B7" s="5" t="inlineStr">
        <is>
          <t>자기 이해 검사 종합하기</t>
        </is>
      </c>
      <c r="C7" s="5" t="inlineStr">
        <is>
          <t>POWER UP 강점진로검사(나의 강점·핵심 강점 강화), MIT 전공 흥미 검사(희망 vs 추천 전공 비교), 선호 직무 유형·직업 가치</t>
        </is>
      </c>
      <c r="D7" s="5" t="inlineStr">
        <is>
          <t>22명 반영(10814는 1-4 활동지 없음)</t>
        </is>
      </c>
    </row>
    <row r="8" ht="60" customHeight="1">
      <c r="A8" s="5" t="inlineStr">
        <is>
          <t>1-5</t>
        </is>
      </c>
      <c r="B8" s="5" t="inlineStr">
        <is>
          <t>최고 관심 직업 선정하기</t>
        </is>
      </c>
      <c r="C8" s="5" t="inlineStr">
        <is>
          <t>4차시 결과를 종합해 관심 직업 4개 정보 수집 → 토너먼트로 최고 관심 직업 선정 → AI로 선호 직무유형·직업가치와의 관련성 확인 → 미래 명함 만들기</t>
        </is>
      </c>
      <c r="D8" s="5" t="inlineStr">
        <is>
          <t>22명 반영(10819는 1-5 활동지 없음)</t>
        </is>
      </c>
    </row>
    <row r="9" ht="60" customHeight="1">
      <c r="A9" s="5" t="inlineStr">
        <is>
          <t>1-6</t>
        </is>
      </c>
      <c r="B9" s="5" t="inlineStr">
        <is>
          <t>미래 직업 세계와 AI: 내 직업은 어떻게 변할까?</t>
        </is>
      </c>
      <c r="C9" s="5" t="inlineStr">
        <is>
          <t>AI 3단 분석(대체/협업/대체 불가), AI 시대 키울 역량 3가지, 미래 명함 업그레이드, 모둠 토론으로 'AI가 절대 못 하는 것' 공통 결론</t>
        </is>
      </c>
      <c r="D9" s="5" t="inlineStr">
        <is>
          <t>22명 반영(10819는 1-6 활동지 없음)</t>
        </is>
      </c>
    </row>
    <row r="10" ht="60" customHeight="1">
      <c r="A10" s="5" t="inlineStr">
        <is>
          <t>1-7</t>
        </is>
      </c>
      <c r="B10" s="5" t="inlineStr">
        <is>
          <t>희망 학과(전공) 탐색하기</t>
        </is>
      </c>
      <c r="C10" s="5" t="inlineStr">
        <is>
          <t>2인 1조로 같은 학과 탐색: 학과 개요, 적성 연결, 관련 고교 과목·대학 교과목, 자격증, 진출 분야, 전망, 준비할 것</t>
        </is>
      </c>
      <c r="D10" s="5" t="inlineStr">
        <is>
          <t>23명 전원 반영</t>
        </is>
      </c>
    </row>
    <row r="11" ht="60" customHeight="1">
      <c r="A11" s="5" t="inlineStr">
        <is>
          <t>1-8</t>
        </is>
      </c>
      <c r="B11" s="5" t="inlineStr">
        <is>
          <t>나의 대학 진학 설계(대입 전형 유형별 분석)</t>
        </is>
      </c>
      <c r="C11" s="5" t="inlineStr">
        <is>
          <t>조별 사전 연습(목표 대학 모집요강 분석) → 전형 유형별 나의 준비도 별점 → 도전하고 싶은 수시·정시 전형과 이유</t>
        </is>
      </c>
      <c r="D11" s="5" t="inlineStr">
        <is>
          <t>22명 반영(10819는 1-8 활동지 없음)</t>
        </is>
      </c>
    </row>
    <row r="12" ht="60" customHeight="1">
      <c r="A12" s="5" t="inlineStr">
        <is>
          <t>최종</t>
        </is>
      </c>
      <c r="B12" s="5" t="inlineStr">
        <is>
          <t>1학기 진로수업 마무리 활동지(나의 진로 점검 &amp; 과목 선택 최종 설계)</t>
        </is>
      </c>
      <c r="C12" s="5" t="inlineStr">
        <is>
          <t>5·7·8차시 기록 돌아보기, 1학기 최종 진로 목표, 2·3학년 과목 선택 설계, 대입 전형 연계, 2학기 다짐</t>
        </is>
      </c>
      <c r="D12" s="5" t="inlineStr">
        <is>
          <t>23명 전원 반영(10819는 전 항목 미기재)</t>
        </is>
      </c>
    </row>
    <row r="13" ht="60" customHeight="1">
      <c r="A13" s="5" t="inlineStr">
        <is>
          <t>2-2</t>
        </is>
      </c>
      <c r="B13" s="5" t="inlineStr">
        <is>
          <t>나도 입학사정관</t>
        </is>
      </c>
      <c r="C13" s="5" t="inlineStr">
        <is>
          <t>서울대 아로리 '나도 입학사정관' 사례(2024·2025학년도 합격생 학생부) 중 1건을 골라 학업역량·진로역량·공동체역량 렌즈로 A·B·C 학생을 개별 평가 → 조별 토의 결과(예상)와 실제 결과 비교 → 느낀 점·배운 점</t>
        </is>
      </c>
      <c r="D13" s="5" t="inlineStr">
        <is>
          <t>22명 반영(10819 이지웅 활동지 없음)</t>
        </is>
      </c>
    </row>
    <row r="14" ht="75" customHeight="1">
      <c r="A14" s="5" t="inlineStr">
        <is>
          <t>P-1</t>
        </is>
      </c>
      <c r="B14" s="5" t="inlineStr">
        <is>
          <t>진로 프로젝트 1차시: 3종 트랙 탐색·선택 및 8차시 개인 계획서</t>
        </is>
      </c>
      <c r="C14" s="5" t="inlineStr">
        <is>
          <t>주제탐구·진로독서·습관형성 3개 트랙의 특징 비교 → 나에게 맞는 트랙 1개 선택과 이유 → 선택 트랙별 초기 아이디어 구상 → 8차시 세부 계획(차시별 활동·산출물) → 다짐 및 계획 자가점검</t>
        </is>
      </c>
      <c r="D14" s="5" t="inlineStr">
        <is>
          <t>22명 반영(10811 류태준 활동지 없음)
트랙 선택: 주제탐구 12명, 진로독서 6명, 습관형성 3명, 미선택 1명(10819)</t>
        </is>
      </c>
    </row>
    <row r="15" ht="75" customHeight="1">
      <c r="A15" s="5" t="inlineStr">
        <is>
          <t>P-2</t>
        </is>
      </c>
      <c r="B15" s="5" t="inlineStr">
        <is>
          <t>진로 프로젝트 2차시: 트랙별 활동지(주제탐구 탐구계획서 / 진로독서 도서 선정 / 습관형성 목표 세우기)</t>
        </is>
      </c>
      <c r="C15" s="5" t="inlineStr">
        <is>
          <t>주제탐구: 핵심·하위 탐구 질문과 자료원 / 진로독서: 선정 기준·후보 도서·최종 도서 / 습관형성: 자기평가·SMART 습관 목표·인증 방법</t>
        </is>
      </c>
      <c r="D15" s="5" t="inlineStr">
        <is>
          <t>21명 반영(10801·10805 활동지 없음, 10811은 P-3 스캔본에 함께 제출)
주제탐구 13명, 진로독서 5명, 습관형성 2명
※ P-2 스캔본 21~25쪽은 10807·10809·10810·10818·10821의 1차시 보완본 → P-1에 반영</t>
        </is>
      </c>
    </row>
    <row r="16" ht="75" customHeight="1">
      <c r="A16" s="5" t="inlineStr">
        <is>
          <t>P-3</t>
        </is>
      </c>
      <c r="B16" s="5" t="inlineStr">
        <is>
          <t>진로 프로젝트 3차시: 트랙별 활동지(주제탐구 자료 수집 / 진로독서 독서 전 활동·독서 시작 / 습관형성 1주차 습관 기록표)</t>
        </is>
      </c>
      <c r="C16" s="5" t="inlineStr">
        <is>
          <t>주제탐구: 자료 5~10개 조사·출처 기록·요약 / 진로독서: 표지·목차로 예상하고 알고 싶은 것 적기 / 습관형성: 요일별 실천·인증 기록과 한 주 소감</t>
        </is>
      </c>
      <c r="D16" s="5" t="inlineStr">
        <is>
          <t>20명 반영(10805·10811·10816 활동지 없음)
주제탐구 자료 수집 14명, 진로독서 4명, 습관형성 2명
기록정도(1차 판단) 상 12 · 중 6 · 하 2
※ 10807·10811은 이번 스캔본에 P-2 활동지도 함께 제출 → P-2 행에 반영, 10809·10821은 여백에 P-2 보완 질문 기재</t>
        </is>
      </c>
    </row>
    <row r="18">
      <c r="A18" s="6" t="inlineStr">
        <is>
          <t>2-2 나도 입학사정관 — 학생별 작성 현황</t>
        </is>
      </c>
    </row>
    <row r="19">
      <c r="A19" s="3" t="inlineStr">
        <is>
          <t>학번</t>
        </is>
      </c>
      <c r="B19" s="3" t="inlineStr">
        <is>
          <t>이름</t>
        </is>
      </c>
      <c r="C19" s="3" t="inlineStr">
        <is>
          <t>평가 사례</t>
        </is>
      </c>
      <c r="D19" s="3" t="inlineStr">
        <is>
          <t>역량 이유 작성</t>
        </is>
      </c>
      <c r="E19" s="3" t="inlineStr">
        <is>
          <t>예상 vs 결과</t>
        </is>
      </c>
      <c r="F19" s="3" t="inlineStr">
        <is>
          <t>소감(느낀 점·배운 점)</t>
        </is>
      </c>
    </row>
    <row r="20" ht="18" customHeight="1">
      <c r="A20" s="4" t="inlineStr">
        <is>
          <t>10801</t>
        </is>
      </c>
      <c r="B20" s="4" t="inlineStr">
        <is>
          <t>류혜정</t>
        </is>
      </c>
      <c r="C20" s="5" t="inlineStr">
        <is>
          <t>2024 조선해양공학과</t>
        </is>
      </c>
      <c r="D20" s="4" t="inlineStr">
        <is>
          <t>1/3</t>
        </is>
      </c>
      <c r="E20" s="4" t="inlineStr">
        <is>
          <t>일치</t>
        </is>
      </c>
      <c r="F20" s="4" t="inlineStr">
        <is>
          <t>작성</t>
        </is>
      </c>
    </row>
    <row r="21" ht="18" customHeight="1">
      <c r="A21" s="4" t="inlineStr">
        <is>
          <t>10802</t>
        </is>
      </c>
      <c r="B21" s="4" t="inlineStr">
        <is>
          <t>간보민</t>
        </is>
      </c>
      <c r="C21" s="5" t="inlineStr">
        <is>
          <t>2025 컴퓨터공학부</t>
        </is>
      </c>
      <c r="D21" s="4" t="inlineStr">
        <is>
          <t>3/3</t>
        </is>
      </c>
      <c r="E21" s="4" t="inlineStr">
        <is>
          <t>예상 미기재</t>
        </is>
      </c>
      <c r="F21" s="4" t="inlineStr">
        <is>
          <t>작성</t>
        </is>
      </c>
    </row>
    <row r="22" ht="18" customHeight="1">
      <c r="A22" s="4" t="inlineStr">
        <is>
          <t>10803</t>
        </is>
      </c>
      <c r="B22" s="4" t="inlineStr">
        <is>
          <t>김가빈</t>
        </is>
      </c>
      <c r="C22" s="5" t="inlineStr">
        <is>
          <t>2025 컴퓨터공학부</t>
        </is>
      </c>
      <c r="D22" s="4" t="inlineStr">
        <is>
          <t>3/3</t>
        </is>
      </c>
      <c r="E22" s="4" t="inlineStr">
        <is>
          <t>판독 어려움</t>
        </is>
      </c>
      <c r="F22" s="4" t="inlineStr">
        <is>
          <t>작성</t>
        </is>
      </c>
    </row>
    <row r="23" ht="18" customHeight="1">
      <c r="A23" s="4" t="inlineStr">
        <is>
          <t>10804</t>
        </is>
      </c>
      <c r="B23" s="4" t="inlineStr">
        <is>
          <t>김규리</t>
        </is>
      </c>
      <c r="C23" s="5" t="inlineStr">
        <is>
          <t>2025 소비자학</t>
        </is>
      </c>
      <c r="D23" s="4" t="inlineStr">
        <is>
          <t>2/3</t>
        </is>
      </c>
      <c r="E23" s="4" t="inlineStr">
        <is>
          <t>결과 미기재</t>
        </is>
      </c>
      <c r="F23" s="4" t="inlineStr">
        <is>
          <t>작성</t>
        </is>
      </c>
    </row>
    <row r="24" ht="18" customHeight="1">
      <c r="A24" s="4" t="inlineStr">
        <is>
          <t>10805</t>
        </is>
      </c>
      <c r="B24" s="4" t="inlineStr">
        <is>
          <t>김민지</t>
        </is>
      </c>
      <c r="C24" s="5" t="inlineStr">
        <is>
          <t>2024 조선해양공학과</t>
        </is>
      </c>
      <c r="D24" s="4" t="inlineStr">
        <is>
          <t>2/3</t>
        </is>
      </c>
      <c r="E24" s="4" t="inlineStr">
        <is>
          <t>부분 일치</t>
        </is>
      </c>
      <c r="F24" s="4" t="inlineStr">
        <is>
          <t>작성</t>
        </is>
      </c>
    </row>
    <row r="25" ht="18" customHeight="1">
      <c r="A25" s="4" t="inlineStr">
        <is>
          <t>10806</t>
        </is>
      </c>
      <c r="B25" s="4" t="inlineStr">
        <is>
          <t>김세희</t>
        </is>
      </c>
      <c r="C25" s="5" t="inlineStr">
        <is>
          <t>2025 컴퓨터공학부</t>
        </is>
      </c>
      <c r="D25" s="4" t="inlineStr">
        <is>
          <t>3/3</t>
        </is>
      </c>
      <c r="E25" s="4" t="inlineStr">
        <is>
          <t>예상 미기재</t>
        </is>
      </c>
      <c r="F25" s="4" t="inlineStr">
        <is>
          <t>작성</t>
        </is>
      </c>
    </row>
    <row r="26" ht="18" customHeight="1">
      <c r="A26" s="4" t="inlineStr">
        <is>
          <t>10807</t>
        </is>
      </c>
      <c r="B26" s="4" t="inlineStr">
        <is>
          <t>김연아</t>
        </is>
      </c>
      <c r="C26" s="5" t="inlineStr">
        <is>
          <t>2025 소비자학</t>
        </is>
      </c>
      <c r="D26" s="4" t="inlineStr">
        <is>
          <t>1/3</t>
        </is>
      </c>
      <c r="E26" s="4" t="inlineStr">
        <is>
          <t>불일치</t>
        </is>
      </c>
      <c r="F26" s="4" t="inlineStr">
        <is>
          <t>배운 점만</t>
        </is>
      </c>
    </row>
    <row r="27" ht="18" customHeight="1">
      <c r="A27" s="4" t="inlineStr">
        <is>
          <t>10808</t>
        </is>
      </c>
      <c r="B27" s="4" t="inlineStr">
        <is>
          <t>김하랑</t>
        </is>
      </c>
      <c r="C27" s="5" t="inlineStr">
        <is>
          <t>2025 (학과 미기재)</t>
        </is>
      </c>
      <c r="D27" s="4" t="inlineStr">
        <is>
          <t>3/3</t>
        </is>
      </c>
      <c r="E27" s="4" t="inlineStr">
        <is>
          <t>미기재</t>
        </is>
      </c>
      <c r="F27" s="4" t="inlineStr">
        <is>
          <t>작성</t>
        </is>
      </c>
    </row>
    <row r="28" ht="18" customHeight="1">
      <c r="A28" s="4" t="inlineStr">
        <is>
          <t>10809</t>
        </is>
      </c>
      <c r="B28" s="4" t="inlineStr">
        <is>
          <t>김하율</t>
        </is>
      </c>
      <c r="C28" s="5" t="inlineStr">
        <is>
          <t>2024 교육학과</t>
        </is>
      </c>
      <c r="D28" s="4" t="inlineStr">
        <is>
          <t>3/3</t>
        </is>
      </c>
      <c r="E28" s="4" t="inlineStr">
        <is>
          <t>일치</t>
        </is>
      </c>
      <c r="F28" s="4" t="inlineStr">
        <is>
          <t>작성</t>
        </is>
      </c>
    </row>
    <row r="29" ht="18" customHeight="1">
      <c r="A29" s="4" t="inlineStr">
        <is>
          <t>10810</t>
        </is>
      </c>
      <c r="B29" s="4" t="inlineStr">
        <is>
          <t>노주원</t>
        </is>
      </c>
      <c r="C29" s="5" t="inlineStr">
        <is>
          <t>2024 교육학과</t>
        </is>
      </c>
      <c r="D29" s="4" t="inlineStr">
        <is>
          <t>3/3</t>
        </is>
      </c>
      <c r="E29" s="4" t="inlineStr">
        <is>
          <t>불일치</t>
        </is>
      </c>
      <c r="F29" s="4" t="inlineStr">
        <is>
          <t>작성</t>
        </is>
      </c>
    </row>
    <row r="30" ht="18" customHeight="1">
      <c r="A30" s="4" t="inlineStr">
        <is>
          <t>10811</t>
        </is>
      </c>
      <c r="B30" s="4" t="inlineStr">
        <is>
          <t>류태준</t>
        </is>
      </c>
      <c r="C30" s="5" t="inlineStr">
        <is>
          <t>2025 컴퓨터공학부</t>
        </is>
      </c>
      <c r="D30" s="7" t="inlineStr">
        <is>
          <t>0/3</t>
        </is>
      </c>
      <c r="E30" s="4" t="inlineStr">
        <is>
          <t>미기재</t>
        </is>
      </c>
      <c r="F30" s="7" t="inlineStr">
        <is>
          <t>미기재</t>
        </is>
      </c>
    </row>
    <row r="31" ht="18" customHeight="1">
      <c r="A31" s="4" t="inlineStr">
        <is>
          <t>10812</t>
        </is>
      </c>
      <c r="B31" s="4" t="inlineStr">
        <is>
          <t>백우준</t>
        </is>
      </c>
      <c r="C31" s="5" t="inlineStr">
        <is>
          <t>2024 첨단융합학부</t>
        </is>
      </c>
      <c r="D31" s="4" t="inlineStr">
        <is>
          <t>3/3</t>
        </is>
      </c>
      <c r="E31" s="4" t="inlineStr">
        <is>
          <t>불일치</t>
        </is>
      </c>
      <c r="F31" s="4" t="inlineStr">
        <is>
          <t>작성</t>
        </is>
      </c>
    </row>
    <row r="32" ht="18" customHeight="1">
      <c r="A32" s="4" t="inlineStr">
        <is>
          <t>10813</t>
        </is>
      </c>
      <c r="B32" s="4" t="inlineStr">
        <is>
          <t>서무영</t>
        </is>
      </c>
      <c r="C32" s="5" t="inlineStr">
        <is>
          <t>2024 교육학과</t>
        </is>
      </c>
      <c r="D32" s="4" t="inlineStr">
        <is>
          <t>3/3</t>
        </is>
      </c>
      <c r="E32" s="4" t="inlineStr">
        <is>
          <t>일치</t>
        </is>
      </c>
      <c r="F32" s="4" t="inlineStr">
        <is>
          <t>작성</t>
        </is>
      </c>
    </row>
    <row r="33" ht="18" customHeight="1">
      <c r="A33" s="4" t="inlineStr">
        <is>
          <t>10814</t>
        </is>
      </c>
      <c r="B33" s="4" t="inlineStr">
        <is>
          <t>송지우</t>
        </is>
      </c>
      <c r="C33" s="5" t="inlineStr">
        <is>
          <t>2024 조선해양공학과</t>
        </is>
      </c>
      <c r="D33" s="7" t="inlineStr">
        <is>
          <t>0/3</t>
        </is>
      </c>
      <c r="E33" s="4" t="inlineStr">
        <is>
          <t>일치</t>
        </is>
      </c>
      <c r="F33" s="4" t="inlineStr">
        <is>
          <t>작성</t>
        </is>
      </c>
    </row>
    <row r="34" ht="18" customHeight="1">
      <c r="A34" s="4" t="inlineStr">
        <is>
          <t>10815</t>
        </is>
      </c>
      <c r="B34" s="4" t="inlineStr">
        <is>
          <t>신주원</t>
        </is>
      </c>
      <c r="C34" s="5" t="inlineStr">
        <is>
          <t>2024 첨단융합학부</t>
        </is>
      </c>
      <c r="D34" s="4" t="inlineStr">
        <is>
          <t>3/3</t>
        </is>
      </c>
      <c r="E34" s="4" t="inlineStr">
        <is>
          <t>불일치</t>
        </is>
      </c>
      <c r="F34" s="4" t="inlineStr">
        <is>
          <t>작성</t>
        </is>
      </c>
    </row>
    <row r="35" ht="18" customHeight="1">
      <c r="A35" s="4" t="inlineStr">
        <is>
          <t>10816</t>
        </is>
      </c>
      <c r="B35" s="4" t="inlineStr">
        <is>
          <t>유태석</t>
        </is>
      </c>
      <c r="C35" s="5" t="inlineStr">
        <is>
          <t>2025 스마트시스템과학과</t>
        </is>
      </c>
      <c r="D35" s="7" t="inlineStr">
        <is>
          <t>0/3</t>
        </is>
      </c>
      <c r="E35" s="4" t="inlineStr">
        <is>
          <t>미기재</t>
        </is>
      </c>
      <c r="F35" s="7" t="inlineStr">
        <is>
          <t>미기재</t>
        </is>
      </c>
    </row>
    <row r="36" ht="18" customHeight="1">
      <c r="A36" s="4" t="inlineStr">
        <is>
          <t>10817</t>
        </is>
      </c>
      <c r="B36" s="4" t="inlineStr">
        <is>
          <t>이건민</t>
        </is>
      </c>
      <c r="C36" s="5" t="inlineStr">
        <is>
          <t>2025 스마트시스템과학과</t>
        </is>
      </c>
      <c r="D36" s="4" t="inlineStr">
        <is>
          <t>1/3</t>
        </is>
      </c>
      <c r="E36" s="4" t="inlineStr">
        <is>
          <t>불일치</t>
        </is>
      </c>
      <c r="F36" s="4" t="inlineStr">
        <is>
          <t>작성</t>
        </is>
      </c>
    </row>
    <row r="37" ht="18" customHeight="1">
      <c r="A37" s="4" t="inlineStr">
        <is>
          <t>10818</t>
        </is>
      </c>
      <c r="B37" s="4" t="inlineStr">
        <is>
          <t>이주희</t>
        </is>
      </c>
      <c r="C37" s="5" t="inlineStr">
        <is>
          <t>2025 소비자학</t>
        </is>
      </c>
      <c r="D37" s="4" t="inlineStr">
        <is>
          <t>3/3</t>
        </is>
      </c>
      <c r="E37" s="4" t="inlineStr">
        <is>
          <t>불일치</t>
        </is>
      </c>
      <c r="F37" s="4" t="inlineStr">
        <is>
          <t>작성</t>
        </is>
      </c>
    </row>
    <row r="38" ht="18" customHeight="1">
      <c r="A38" s="4" t="inlineStr">
        <is>
          <t>10819</t>
        </is>
      </c>
      <c r="B38" s="4" t="inlineStr">
        <is>
          <t>이지웅</t>
        </is>
      </c>
      <c r="C38" s="5" t="inlineStr">
        <is>
          <t>—</t>
        </is>
      </c>
      <c r="D38" s="4" t="inlineStr">
        <is>
          <t>—</t>
        </is>
      </c>
      <c r="E38" s="4" t="inlineStr">
        <is>
          <t>—</t>
        </is>
      </c>
      <c r="F38" s="7" t="inlineStr">
        <is>
          <t>활동지 없음</t>
        </is>
      </c>
    </row>
    <row r="39" ht="18" customHeight="1">
      <c r="A39" s="4" t="inlineStr">
        <is>
          <t>10820</t>
        </is>
      </c>
      <c r="B39" s="4" t="inlineStr">
        <is>
          <t>장승빈</t>
        </is>
      </c>
      <c r="C39" s="5" t="inlineStr">
        <is>
          <t>2024 첨단융합학부</t>
        </is>
      </c>
      <c r="D39" s="4" t="inlineStr">
        <is>
          <t>3/3</t>
        </is>
      </c>
      <c r="E39" s="4" t="inlineStr">
        <is>
          <t>불일치</t>
        </is>
      </c>
      <c r="F39" s="4" t="inlineStr">
        <is>
          <t>작성</t>
        </is>
      </c>
    </row>
    <row r="40" ht="18" customHeight="1">
      <c r="A40" s="4" t="inlineStr">
        <is>
          <t>10821</t>
        </is>
      </c>
      <c r="B40" s="4" t="inlineStr">
        <is>
          <t>장준혁</t>
        </is>
      </c>
      <c r="C40" s="5" t="inlineStr">
        <is>
          <t>2024 교육학과</t>
        </is>
      </c>
      <c r="D40" s="4" t="inlineStr">
        <is>
          <t>2/3</t>
        </is>
      </c>
      <c r="E40" s="4" t="inlineStr">
        <is>
          <t>일치</t>
        </is>
      </c>
      <c r="F40" s="7" t="inlineStr">
        <is>
          <t>미기재</t>
        </is>
      </c>
    </row>
    <row r="41" ht="18" customHeight="1">
      <c r="A41" s="4" t="inlineStr">
        <is>
          <t>10822</t>
        </is>
      </c>
      <c r="B41" s="4" t="inlineStr">
        <is>
          <t>최시우</t>
        </is>
      </c>
      <c r="C41" s="5" t="inlineStr">
        <is>
          <t>2024 첨단융합학부</t>
        </is>
      </c>
      <c r="D41" s="4" t="inlineStr">
        <is>
          <t>3/3</t>
        </is>
      </c>
      <c r="E41" s="4" t="inlineStr">
        <is>
          <t>불일치</t>
        </is>
      </c>
      <c r="F41" s="4" t="inlineStr">
        <is>
          <t>작성</t>
        </is>
      </c>
    </row>
    <row r="42" ht="18" customHeight="1">
      <c r="A42" s="4" t="inlineStr">
        <is>
          <t>10823</t>
        </is>
      </c>
      <c r="B42" s="4" t="inlineStr">
        <is>
          <t>한아인</t>
        </is>
      </c>
      <c r="C42" s="5" t="inlineStr">
        <is>
          <t>(년도 미기재) 컴퓨터공학부</t>
        </is>
      </c>
      <c r="D42" s="4" t="inlineStr">
        <is>
          <t>3/3</t>
        </is>
      </c>
      <c r="E42" s="4" t="inlineStr">
        <is>
          <t>예상 미기재</t>
        </is>
      </c>
      <c r="F42" s="4" t="inlineStr">
        <is>
          <t>작성</t>
        </is>
      </c>
    </row>
    <row r="45">
      <c r="A45" s="6" t="inlineStr">
        <is>
          <t>진로 프로젝트(개별 프로젝트) P-1·P-2·P-3 — 학생별 트랙·주제 현황</t>
        </is>
      </c>
    </row>
    <row r="46">
      <c r="A46" s="3" t="inlineStr">
        <is>
          <t>학번</t>
        </is>
      </c>
      <c r="B46" s="3" t="inlineStr">
        <is>
          <t>이름</t>
        </is>
      </c>
      <c r="C46" s="3" t="inlineStr">
        <is>
          <t>트랙 (짝)</t>
        </is>
      </c>
      <c r="D46" s="3" t="inlineStr">
        <is>
          <t>탐구 질문 / 선정 도서 / 습관 목표</t>
        </is>
      </c>
      <c r="E46" s="3" t="inlineStr">
        <is>
          <t>P-1 작성</t>
        </is>
      </c>
      <c r="F46" s="3" t="inlineStr">
        <is>
          <t>P-2 작성</t>
        </is>
      </c>
      <c r="G46" s="3" t="inlineStr">
        <is>
          <t>P-3 작성</t>
        </is>
      </c>
    </row>
    <row r="47" ht="30" customHeight="1">
      <c r="A47" s="4" t="inlineStr">
        <is>
          <t>10801</t>
        </is>
      </c>
      <c r="B47" s="4" t="inlineStr">
        <is>
          <t>류혜정</t>
        </is>
      </c>
      <c r="C47" s="8" t="inlineStr">
        <is>
          <t>진로독서</t>
        </is>
      </c>
      <c r="D47" s="8" t="inlineStr">
        <is>
          <t>(P-2 없음)</t>
        </is>
      </c>
      <c r="E47" s="8" t="inlineStr">
        <is>
          <t>선택 이유만</t>
        </is>
      </c>
      <c r="F47" s="8" t="inlineStr">
        <is>
          <t>없음</t>
        </is>
      </c>
      <c r="G47" s="8" t="inlineStr">
        <is>
          <t>출처 5(서비스명만·트랙 확인)</t>
        </is>
      </c>
    </row>
    <row r="48" ht="30" customHeight="1">
      <c r="A48" s="4" t="inlineStr">
        <is>
          <t>10802</t>
        </is>
      </c>
      <c r="B48" s="4" t="inlineStr">
        <is>
          <t>간보민</t>
        </is>
      </c>
      <c r="C48" s="8" t="inlineStr">
        <is>
          <t>주제탐구 (with 김하랑)</t>
        </is>
      </c>
      <c r="D48" s="8" t="inlineStr">
        <is>
          <t>유아 영양식품·영양교육이 건강한 식습관에 미치는 영향</t>
        </is>
      </c>
      <c r="E48" s="8" t="inlineStr">
        <is>
          <t>작성(다짐 제외)</t>
        </is>
      </c>
      <c r="F48" s="8" t="inlineStr">
        <is>
          <t>작성</t>
        </is>
      </c>
      <c r="G48" s="8" t="inlineStr">
        <is>
          <t>자료 4 요약</t>
        </is>
      </c>
    </row>
    <row r="49" ht="30" customHeight="1">
      <c r="A49" s="4" t="inlineStr">
        <is>
          <t>10803</t>
        </is>
      </c>
      <c r="B49" s="4" t="inlineStr">
        <is>
          <t>김가빈</t>
        </is>
      </c>
      <c r="C49" s="8" t="inlineStr">
        <is>
          <t>주제탐구 (개인)</t>
        </is>
      </c>
      <c r="D49" s="8" t="inlineStr">
        <is>
          <t>수면 시간이 청소년의 정서 상태에 미치는 영향</t>
        </is>
      </c>
      <c r="E49" s="8" t="inlineStr">
        <is>
          <t>일부(주제·계획 미기재)</t>
        </is>
      </c>
      <c r="F49" s="8" t="inlineStr">
        <is>
          <t>매우 충실</t>
        </is>
      </c>
      <c r="G49" s="8" t="inlineStr">
        <is>
          <t>자료 5 요약</t>
        </is>
      </c>
    </row>
    <row r="50" ht="30" customHeight="1">
      <c r="A50" s="4" t="inlineStr">
        <is>
          <t>10804</t>
        </is>
      </c>
      <c r="B50" s="4" t="inlineStr">
        <is>
          <t>김규리</t>
        </is>
      </c>
      <c r="C50" s="8" t="inlineStr">
        <is>
          <t>주제탐구 (개인)</t>
        </is>
      </c>
      <c r="D50" s="8" t="inlineStr">
        <is>
          <t>지역 마스코트 활용 효과와 장기 운영 방안</t>
        </is>
      </c>
      <c r="E50" s="8" t="inlineStr">
        <is>
          <t>일부(주제·계획 미기재)</t>
        </is>
      </c>
      <c r="F50" s="8" t="inlineStr">
        <is>
          <t>작성</t>
        </is>
      </c>
      <c r="G50" s="8" t="inlineStr">
        <is>
          <t>자료 4 요약</t>
        </is>
      </c>
    </row>
    <row r="51" ht="30" customHeight="1">
      <c r="A51" s="4" t="inlineStr">
        <is>
          <t>10805</t>
        </is>
      </c>
      <c r="B51" s="4" t="inlineStr">
        <is>
          <t>김민지</t>
        </is>
      </c>
      <c r="C51" s="8" t="inlineStr">
        <is>
          <t>습관형성</t>
        </is>
      </c>
      <c r="D51" s="8" t="inlineStr">
        <is>
          <t>(P-2 없음) 1차시: 운동 습관 회복</t>
        </is>
      </c>
      <c r="E51" s="8" t="inlineStr">
        <is>
          <t>작성(계획표 제외)</t>
        </is>
      </c>
      <c r="F51" s="8" t="inlineStr">
        <is>
          <t>없음</t>
        </is>
      </c>
      <c r="G51" s="8" t="inlineStr">
        <is>
          <t>없음</t>
        </is>
      </c>
    </row>
    <row r="52" ht="30" customHeight="1">
      <c r="A52" s="4" t="inlineStr">
        <is>
          <t>10806</t>
        </is>
      </c>
      <c r="B52" s="4" t="inlineStr">
        <is>
          <t>김세희</t>
        </is>
      </c>
      <c r="C52" s="8" t="inlineStr">
        <is>
          <t>주제탐구 (개인)</t>
        </is>
      </c>
      <c r="D52" s="8" t="inlineStr">
        <is>
          <t>놀이가 아이들의 정서 발달에 미치는 영향</t>
        </is>
      </c>
      <c r="E52" s="8" t="inlineStr">
        <is>
          <t>일부</t>
        </is>
      </c>
      <c r="F52" s="8" t="inlineStr">
        <is>
          <t>작성(자료원 제외)</t>
        </is>
      </c>
      <c r="G52" s="8" t="inlineStr">
        <is>
          <t>자료 1(논문)</t>
        </is>
      </c>
    </row>
    <row r="53" ht="30" customHeight="1">
      <c r="A53" s="4" t="inlineStr">
        <is>
          <t>10807</t>
        </is>
      </c>
      <c r="B53" s="4" t="inlineStr">
        <is>
          <t>김연아</t>
        </is>
      </c>
      <c r="C53" s="8" t="inlineStr">
        <is>
          <t>주제탐구 (개인)</t>
        </is>
      </c>
      <c r="D53" s="8" t="inlineStr">
        <is>
          <t>평소와 시험기간의 생활(몸 상태) 변화</t>
        </is>
      </c>
      <c r="E53" s="8" t="inlineStr">
        <is>
          <t>일부 + 보완본</t>
        </is>
      </c>
      <c r="F53" s="8" t="inlineStr">
        <is>
          <t>핵심 질문만→P-3 때 질문 보완</t>
        </is>
      </c>
      <c r="G53" s="8" t="inlineStr">
        <is>
          <t>출처 2만(요약 없음)</t>
        </is>
      </c>
    </row>
    <row r="54" ht="30" customHeight="1">
      <c r="A54" s="4" t="inlineStr">
        <is>
          <t>10808</t>
        </is>
      </c>
      <c r="B54" s="4" t="inlineStr">
        <is>
          <t>김하랑</t>
        </is>
      </c>
      <c r="C54" s="8" t="inlineStr">
        <is>
          <t>주제탐구 (with 간보민)</t>
        </is>
      </c>
      <c r="D54" s="8" t="inlineStr">
        <is>
          <t>유아 영양식품·영양교육이 건강한 식습관에 미치는 영향</t>
        </is>
      </c>
      <c r="E54" s="8" t="inlineStr">
        <is>
          <t>일부(계획 미기재)</t>
        </is>
      </c>
      <c r="F54" s="8" t="inlineStr">
        <is>
          <t>작성</t>
        </is>
      </c>
      <c r="G54" s="8" t="inlineStr">
        <is>
          <t>자료 5 요약</t>
        </is>
      </c>
    </row>
    <row r="55" ht="30" customHeight="1">
      <c r="A55" s="4" t="inlineStr">
        <is>
          <t>10809</t>
        </is>
      </c>
      <c r="B55" s="4" t="inlineStr">
        <is>
          <t>김하율</t>
        </is>
      </c>
      <c r="C55" s="8" t="inlineStr">
        <is>
          <t>주제탐구 (with 장준혁)</t>
        </is>
      </c>
      <c r="D55" s="8" t="inlineStr">
        <is>
          <t>체육수업이 학생들에게 주는 영향(P-3에서 주제 변경)</t>
        </is>
      </c>
      <c r="E55" s="8" t="inlineStr">
        <is>
          <t>작성 + 보완본</t>
        </is>
      </c>
      <c r="F55" s="8" t="inlineStr">
        <is>
          <t>작성</t>
        </is>
      </c>
      <c r="G55" s="8" t="inlineStr">
        <is>
          <t>자료 5 요약</t>
        </is>
      </c>
    </row>
    <row r="56" ht="30" customHeight="1">
      <c r="A56" s="4" t="inlineStr">
        <is>
          <t>10810</t>
        </is>
      </c>
      <c r="B56" s="4" t="inlineStr">
        <is>
          <t>노주원</t>
        </is>
      </c>
      <c r="C56" s="8" t="inlineStr">
        <is>
          <t>주제탐구 (개인)</t>
        </is>
      </c>
      <c r="D56" s="8" t="inlineStr">
        <is>
          <t>교사의 교육방식에 따른 학생 이해도 차이</t>
        </is>
      </c>
      <c r="E56" s="8" t="inlineStr">
        <is>
          <t>작성 + 보완본</t>
        </is>
      </c>
      <c r="F56" s="8" t="inlineStr">
        <is>
          <t>작성</t>
        </is>
      </c>
      <c r="G56" s="8" t="inlineStr">
        <is>
          <t>자료 3 요약</t>
        </is>
      </c>
    </row>
    <row r="57" ht="30" customHeight="1">
      <c r="A57" s="4" t="inlineStr">
        <is>
          <t>10811</t>
        </is>
      </c>
      <c r="B57" s="4" t="inlineStr">
        <is>
          <t>류태준</t>
        </is>
      </c>
      <c r="C57" s="8" t="inlineStr">
        <is>
          <t>주제탐구 (개인)</t>
        </is>
      </c>
      <c r="D57" s="8" t="inlineStr">
        <is>
          <t>애견 미용이 반려견의 건강과 위생에 미치는 영향</t>
        </is>
      </c>
      <c r="E57" s="8" t="inlineStr">
        <is>
          <t>없음</t>
        </is>
      </c>
      <c r="F57" s="8" t="inlineStr">
        <is>
          <t>작성(P-3 때 제출)</t>
        </is>
      </c>
      <c r="G57" s="8" t="inlineStr">
        <is>
          <t>없음(P-2만 제출)</t>
        </is>
      </c>
    </row>
    <row r="58" ht="30" customHeight="1">
      <c r="A58" s="4" t="inlineStr">
        <is>
          <t>10812</t>
        </is>
      </c>
      <c r="B58" s="4" t="inlineStr">
        <is>
          <t>백우준</t>
        </is>
      </c>
      <c r="C58" s="8" t="inlineStr">
        <is>
          <t>주제탐구 (with 최시우)</t>
        </is>
      </c>
      <c r="D58" s="8" t="inlineStr">
        <is>
          <t>미국 관세정책이 세계 정세에 미친 영향</t>
        </is>
      </c>
      <c r="E58" s="8" t="inlineStr">
        <is>
          <t>작성</t>
        </is>
      </c>
      <c r="F58" s="8" t="inlineStr">
        <is>
          <t>작성</t>
        </is>
      </c>
      <c r="G58" s="8" t="inlineStr">
        <is>
          <t>자료 1(관세 개념)</t>
        </is>
      </c>
    </row>
    <row r="59" ht="30" customHeight="1">
      <c r="A59" s="4" t="inlineStr">
        <is>
          <t>10813</t>
        </is>
      </c>
      <c r="B59" s="4" t="inlineStr">
        <is>
          <t>서무영</t>
        </is>
      </c>
      <c r="C59" s="8" t="inlineStr">
        <is>
          <t>습관형성 (with 이건민)</t>
        </is>
      </c>
      <c r="D59" s="8" t="inlineStr">
        <is>
          <t>하루 영어단어 10개 암기 습관</t>
        </is>
      </c>
      <c r="E59" s="8" t="inlineStr">
        <is>
          <t>작성</t>
        </is>
      </c>
      <c r="F59" s="8" t="inlineStr">
        <is>
          <t>작성(장애물 제외)</t>
        </is>
      </c>
      <c r="G59" s="8" t="inlineStr">
        <is>
          <t>6/7일 실천</t>
        </is>
      </c>
    </row>
    <row r="60" ht="30" customHeight="1">
      <c r="A60" s="4" t="inlineStr">
        <is>
          <t>10814</t>
        </is>
      </c>
      <c r="B60" s="4" t="inlineStr">
        <is>
          <t>송지우</t>
        </is>
      </c>
      <c r="C60" s="8" t="inlineStr">
        <is>
          <t>진로독서 (개인)</t>
        </is>
      </c>
      <c r="D60" s="8" t="inlineStr">
        <is>
          <t>『미래를 바꾸는 의생명 공학 이야기』</t>
        </is>
      </c>
      <c r="E60" s="8" t="inlineStr">
        <is>
          <t>작성(계획표 제외)</t>
        </is>
      </c>
      <c r="F60" s="8" t="inlineStr">
        <is>
          <t>작성</t>
        </is>
      </c>
      <c r="G60" s="8" t="inlineStr">
        <is>
          <t>3칸 작성</t>
        </is>
      </c>
    </row>
    <row r="61" ht="30" customHeight="1">
      <c r="A61" s="4" t="inlineStr">
        <is>
          <t>10815</t>
        </is>
      </c>
      <c r="B61" s="4" t="inlineStr">
        <is>
          <t>신주원</t>
        </is>
      </c>
      <c r="C61" s="8" t="inlineStr">
        <is>
          <t>진로독서 (with 장승빈)</t>
        </is>
      </c>
      <c r="D61" s="8" t="inlineStr">
        <is>
          <t>『다정한 물리학』</t>
        </is>
      </c>
      <c r="E61" s="8" t="inlineStr">
        <is>
          <t>작성(후보 도서 제외)</t>
        </is>
      </c>
      <c r="F61" s="8" t="inlineStr">
        <is>
          <t>일부(후보 1권)</t>
        </is>
      </c>
      <c r="G61" s="8" t="inlineStr">
        <is>
          <t>3칸 작성</t>
        </is>
      </c>
    </row>
    <row r="62" ht="30" customHeight="1">
      <c r="A62" s="4" t="inlineStr">
        <is>
          <t>10816</t>
        </is>
      </c>
      <c r="B62" s="4" t="inlineStr">
        <is>
          <t>유태석</t>
        </is>
      </c>
      <c r="C62" s="8" t="inlineStr">
        <is>
          <t>진로독서 (개인)</t>
        </is>
      </c>
      <c r="D62" s="8" t="inlineStr">
        <is>
          <t>최종 도서 미정(후보: 『꿈을 찾는 진로 상담소』)</t>
        </is>
      </c>
      <c r="E62" s="8" t="inlineStr">
        <is>
          <t>일부</t>
        </is>
      </c>
      <c r="F62" s="8" t="inlineStr">
        <is>
          <t>일부</t>
        </is>
      </c>
      <c r="G62" s="8" t="inlineStr">
        <is>
          <t>없음</t>
        </is>
      </c>
    </row>
    <row r="63" ht="30" customHeight="1">
      <c r="A63" s="4" t="inlineStr">
        <is>
          <t>10817</t>
        </is>
      </c>
      <c r="B63" s="4" t="inlineStr">
        <is>
          <t>이건민</t>
        </is>
      </c>
      <c r="C63" s="8" t="inlineStr">
        <is>
          <t>습관형성 (with 서무영)</t>
        </is>
      </c>
      <c r="D63" s="8" t="inlineStr">
        <is>
          <t>남는 시간에 국어 문제 푸는 습관</t>
        </is>
      </c>
      <c r="E63" s="8" t="inlineStr">
        <is>
          <t>선택 이유만</t>
        </is>
      </c>
      <c r="F63" s="8" t="inlineStr">
        <is>
          <t>작성(장애물 제외)</t>
        </is>
      </c>
      <c r="G63" s="8" t="inlineStr">
        <is>
          <t>1/7일 실천</t>
        </is>
      </c>
    </row>
    <row r="64" ht="30" customHeight="1">
      <c r="A64" s="4" t="inlineStr">
        <is>
          <t>10818</t>
        </is>
      </c>
      <c r="B64" s="4" t="inlineStr">
        <is>
          <t>이주희</t>
        </is>
      </c>
      <c r="C64" s="8" t="inlineStr">
        <is>
          <t>주제탐구 (개인)</t>
        </is>
      </c>
      <c r="D64" s="8" t="inlineStr">
        <is>
          <t>호흡 과정과 호흡기 구조</t>
        </is>
      </c>
      <c r="E64" s="8" t="inlineStr">
        <is>
          <t>일부 + 보완본</t>
        </is>
      </c>
      <c r="F64" s="8" t="inlineStr">
        <is>
          <t>작성</t>
        </is>
      </c>
      <c r="G64" s="8" t="inlineStr">
        <is>
          <t>자료 5 요약</t>
        </is>
      </c>
    </row>
    <row r="65" ht="30" customHeight="1">
      <c r="A65" s="4" t="inlineStr">
        <is>
          <t>10819</t>
        </is>
      </c>
      <c r="B65" s="4" t="inlineStr">
        <is>
          <t>이지웅</t>
        </is>
      </c>
      <c r="C65" s="8" t="inlineStr">
        <is>
          <t>주제탐구 (개인, 1차시 미선택)</t>
        </is>
      </c>
      <c r="D65" s="8" t="inlineStr">
        <is>
          <t>농구 감독의 컨디션·역할과 팀 전략</t>
        </is>
      </c>
      <c r="E65" s="8" t="inlineStr">
        <is>
          <t>거의 미기재</t>
        </is>
      </c>
      <c r="F65" s="8" t="inlineStr">
        <is>
          <t>작성</t>
        </is>
      </c>
      <c r="G65" s="8" t="inlineStr">
        <is>
          <t>빈 활동지</t>
        </is>
      </c>
    </row>
    <row r="66" ht="30" customHeight="1">
      <c r="A66" s="4" t="inlineStr">
        <is>
          <t>10820</t>
        </is>
      </c>
      <c r="B66" s="4" t="inlineStr">
        <is>
          <t>장승빈</t>
        </is>
      </c>
      <c r="C66" s="8" t="inlineStr">
        <is>
          <t>진로독서 (with 신주원)</t>
        </is>
      </c>
      <c r="D66" s="8" t="inlineStr">
        <is>
          <t>『다정한 물리학』</t>
        </is>
      </c>
      <c r="E66" s="8" t="inlineStr">
        <is>
          <t>작성</t>
        </is>
      </c>
      <c r="F66" s="8" t="inlineStr">
        <is>
          <t>일부(후보 1권)</t>
        </is>
      </c>
      <c r="G66" s="8" t="inlineStr">
        <is>
          <t>3칸 작성</t>
        </is>
      </c>
    </row>
    <row r="67" ht="30" customHeight="1">
      <c r="A67" s="4" t="inlineStr">
        <is>
          <t>10821</t>
        </is>
      </c>
      <c r="B67" s="4" t="inlineStr">
        <is>
          <t>장준혁</t>
        </is>
      </c>
      <c r="C67" s="8" t="inlineStr">
        <is>
          <t>주제탐구 (with 김하율)</t>
        </is>
      </c>
      <c r="D67" s="8" t="inlineStr">
        <is>
          <t>체육수업이 학생들에게 주는 영향(P-3에서 주제 변경)</t>
        </is>
      </c>
      <c r="E67" s="8" t="inlineStr">
        <is>
          <t>일부 + 보완본</t>
        </is>
      </c>
      <c r="F67" s="8" t="inlineStr">
        <is>
          <t>작성</t>
        </is>
      </c>
      <c r="G67" s="8" t="inlineStr">
        <is>
          <t>자료 4 요약</t>
        </is>
      </c>
    </row>
    <row r="68" ht="30" customHeight="1">
      <c r="A68" s="4" t="inlineStr">
        <is>
          <t>10822</t>
        </is>
      </c>
      <c r="B68" s="4" t="inlineStr">
        <is>
          <t>최시우</t>
        </is>
      </c>
      <c r="C68" s="8" t="inlineStr">
        <is>
          <t>주제탐구 (with 백우준)</t>
        </is>
      </c>
      <c r="D68" s="8" t="inlineStr">
        <is>
          <t>미국 관세정책이 세계 정세에 미친 영향</t>
        </is>
      </c>
      <c r="E68" s="8" t="inlineStr">
        <is>
          <t>작성</t>
        </is>
      </c>
      <c r="F68" s="8" t="inlineStr">
        <is>
          <t>작성</t>
        </is>
      </c>
      <c r="G68" s="8" t="inlineStr">
        <is>
          <t>자료 1(관세 개념)</t>
        </is>
      </c>
    </row>
    <row r="69" ht="30" customHeight="1">
      <c r="A69" s="4" t="inlineStr">
        <is>
          <t>10823</t>
        </is>
      </c>
      <c r="B69" s="4" t="inlineStr">
        <is>
          <t>한아인</t>
        </is>
      </c>
      <c r="C69" s="8" t="inlineStr">
        <is>
          <t>진로독서 (개인)</t>
        </is>
      </c>
      <c r="D69" s="8" t="inlineStr">
        <is>
          <t>『우리에게는 헌법이 있다』</t>
        </is>
      </c>
      <c r="E69" s="8" t="inlineStr">
        <is>
          <t>작성(다짐 제외)</t>
        </is>
      </c>
      <c r="F69" s="8" t="inlineStr">
        <is>
          <t>작성</t>
        </is>
      </c>
      <c r="G69" s="8" t="inlineStr">
        <is>
          <t>3칸 작성</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2026-09-25T10:43:02Z</dcterms:created>
  <dcterms:modified xsi:type="dcterms:W3CDTF">2026-09-29T05:53:08Z</dcterms:modified>
</cp:coreProperties>
</file>