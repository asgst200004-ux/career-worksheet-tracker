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101 정솔미" sheetId="1" state="visible" r:id="rId1"/>
    <sheet name="10102 김민성" sheetId="2" state="visible" r:id="rId2"/>
    <sheet name="10103 김민정" sheetId="3" state="visible" r:id="rId3"/>
    <sheet name="10104 김채원" sheetId="4" state="visible" r:id="rId4"/>
    <sheet name="10105 김태경" sheetId="5" state="visible" r:id="rId5"/>
    <sheet name="10106 김태영" sheetId="6" state="visible" r:id="rId6"/>
    <sheet name="10107 나현수" sheetId="7" state="visible" r:id="rId7"/>
    <sheet name="10108 문시우" sheetId="8" state="visible" r:id="rId8"/>
    <sheet name="10109 박소연" sheetId="9" state="visible" r:id="rId9"/>
    <sheet name="10110 박수진" sheetId="10" state="visible" r:id="rId10"/>
    <sheet name="10111 박주빈" sheetId="11" state="visible" r:id="rId11"/>
    <sheet name="10112 변선재" sheetId="12" state="visible" r:id="rId12"/>
    <sheet name="10114 성유현" sheetId="13" state="visible" r:id="rId13"/>
    <sheet name="10115 양예진" sheetId="14" state="visible" r:id="rId14"/>
    <sheet name="10116 오주영" sheetId="15" state="visible" r:id="rId15"/>
    <sheet name="10117 이가람" sheetId="16" state="visible" r:id="rId16"/>
    <sheet name="10119 이영민" sheetId="17" state="visible" r:id="rId17"/>
    <sheet name="10120 임성미" sheetId="18" state="visible" r:id="rId18"/>
    <sheet name="10121 조준호" sheetId="19" state="visible" r:id="rId19"/>
    <sheet name="10122 채흔희" sheetId="20" state="visible" r:id="rId20"/>
    <sheet name="10123 최유나" sheetId="21" state="visible" r:id="rId21"/>
    <sheet name="10124 한지훈" sheetId="22" state="visible" r:id="rId22"/>
    <sheet name="개별프로젝트 1차시 코멘트" sheetId="23" state="visible" r:id="rId23"/>
    <sheet name="개별프로젝트 2차시 코멘트" sheetId="24" state="visible" r:id="rId24"/>
    <sheet name="개별프로젝트 3차시 코멘트" sheetId="25" state="visible" r:id="rId25"/>
    <sheet name="프로젝트 진행 확인표" sheetId="26" state="visible" r:id="rId26"/>
    <sheet name="차시 목록(1-1~1-8)" sheetId="27" state="visible" r:id="rId2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맑은 고딕"/>
      <b val="1"/>
      <sz val="14"/>
    </font>
    <font>
      <name val="맑은 고딕"/>
      <i val="1"/>
      <color rgb="00595959"/>
      <sz val="10"/>
    </font>
    <font>
      <name val="맑은 고딕"/>
      <b val="1"/>
      <color rgb="00FFFFFF"/>
      <sz val="11"/>
    </font>
    <font>
      <name val="맑은 고딕"/>
      <sz val="10"/>
    </font>
    <font>
      <name val="맑은 고딕"/>
      <i val="1"/>
      <color rgb="00595959"/>
      <sz val="9"/>
    </font>
    <font>
      <name val="맑은 고딕"/>
      <b val="1"/>
      <color rgb="001F3864"/>
      <sz val="12"/>
    </font>
    <font>
      <name val="맑은 고딕"/>
      <b val="1"/>
      <sz val="10"/>
    </font>
    <font>
      <name val="맑은 고딕"/>
      <i val="1"/>
      <color rgb="007F6000"/>
      <sz val="9"/>
    </font>
  </fonts>
  <fills count="7">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D9E1F2"/>
        <bgColor rgb="00D9E1F2"/>
      </patternFill>
    </fill>
    <fill>
      <patternFill patternType="solid">
        <fgColor rgb="00FFF2CC"/>
        <bgColor rgb="00FFF2CC"/>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3" fillId="3" borderId="0" applyAlignment="1" pivotButton="0" quotePrefix="0" xfId="0">
      <alignment horizontal="center" vertical="center" wrapText="1"/>
    </xf>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6" fillId="4" borderId="0" pivotButton="0" quotePrefix="0" xfId="0"/>
    <xf numFmtId="0" fontId="7" fillId="0" borderId="1" applyAlignment="1" pivotButton="0" quotePrefix="0" xfId="0">
      <alignment horizontal="center" vertical="center" wrapText="1"/>
    </xf>
    <xf numFmtId="0" fontId="0" fillId="0" borderId="1" pivotButton="0" quotePrefix="0" xfId="0"/>
    <xf numFmtId="0" fontId="4" fillId="5" borderId="1" applyAlignment="1" pivotButton="0" quotePrefix="0" xfId="0">
      <alignment horizontal="center" vertical="center" wrapText="1"/>
    </xf>
    <xf numFmtId="0" fontId="4" fillId="5" borderId="1" applyAlignment="1" pivotButton="0" quotePrefix="0" xfId="0">
      <alignment horizontal="left" vertical="top" wrapText="1"/>
    </xf>
    <xf numFmtId="0" fontId="8" fillId="0" borderId="0" pivotButton="0" quotePrefix="0" xfId="0"/>
    <xf numFmtId="0" fontId="0" fillId="0" borderId="5" pivotButton="0" quotePrefix="0" xfId="0"/>
    <xf numFmtId="0" fontId="0" fillId="0" borderId="4" pivotButton="0" quotePrefix="0" xfId="0"/>
    <xf numFmtId="0" fontId="7" fillId="6" borderId="1" applyAlignment="1" pivotButton="0" quotePrefix="0" xfId="0">
      <alignment horizontal="center"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8CBAD"/>
          <bgColor rgb="00F8CBAD"/>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10101 정솔미)</t>
        </is>
      </c>
    </row>
    <row r="2">
      <c r="A2" s="2" t="inlineStr">
        <is>
          <t>※ 활동지 스캔본(PDF)을 바탕으로 정리. 일부 항목은 학생이 미기재하였거나 뒷면 스캔으로 판독이 어려워 '미기재/판독불가'로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안내(자기이해-직업세계탐색-진로탐색-진로설계와 실천), 진로수업 약속 정하기</t>
        </is>
      </c>
      <c r="D5" s="5" t="inlineStr">
        <is>
          <t>자기소개: MBTI ISTJ, 여행/피자/노래부르기/산책 좋아함, 탄산음료 싫어함, 고양이 키움, 키 173cm, 태권도 배운 경험 있음
진로탐색 태도: 대체로 '그렇다'로 응답(자신감·노력 항목), 진로 상담·진지한 대화 경험은 '그렇지 않다'
진로 결정 시 중요 기준: 좋아하는 것 / 정보탐색 방법: 인터넷 검색
진로결정 어려운 점: 하고 싶은 진로가 너무 많아 선택이 어려움
희망 진로 관련 키워드: 가수, 아이돌, 댄서, 남을 위해 활동하는 사람
가장 중요하게 생각하는 약속: '완벽'(수업 준비 완벽하게 하기)</t>
        </is>
      </c>
      <c r="E5" s="5" t="inlineStr">
        <is>
          <t>진로 흥미가 '연예·엔터테인먼트(가수/아이돌/댄서)' 쪽에 뚜렷하게 쏠려 있음</t>
        </is>
      </c>
      <c r="F5" s="5" t="inlineStr">
        <is>
          <t>다짐 5글자 칸 미기재</t>
        </is>
      </c>
    </row>
    <row r="6" ht="110" customHeight="1">
      <c r="A6" s="4" t="inlineStr">
        <is>
          <t>1-2</t>
        </is>
      </c>
      <c r="B6" s="5" t="inlineStr">
        <is>
          <t>나의 3년을 담는 기록장_학교생활기록부</t>
        </is>
      </c>
      <c r="C6" s="5" t="inlineStr">
        <is>
          <t>학교생활기록부 구성(인적·학적사항, 출결, 수상, 창체활동, 세특, 독서, 행동특성 등) 및 2028 대입 개편안 안내 자료</t>
        </is>
      </c>
      <c r="D6" s="5" t="inlineStr">
        <is>
          <t>학생 작성란(출결/수상/자격증/봉사/세특 등) 전부 공란 — 정보 안내용 활동지로 학생 기록 없음</t>
        </is>
      </c>
      <c r="E6" s="5" t="inlineStr">
        <is>
          <t>-</t>
        </is>
      </c>
      <c r="F6" s="5" t="inlineStr">
        <is>
          <t>학생 작성 내용 없음(교사 제공 정보자료)</t>
        </is>
      </c>
    </row>
    <row r="7" ht="110" customHeight="1">
      <c r="A7" s="4" t="inlineStr">
        <is>
          <t>1-3</t>
        </is>
      </c>
      <c r="B7" s="5" t="inlineStr">
        <is>
          <t>고등학교 내신 산출의 이해</t>
        </is>
      </c>
      <c r="C7" s="5" t="inlineStr">
        <is>
          <t>중·고 내신 산출방식 차이, 5등급제 계산 연습, 수시/정시 개념, 고교학점제, 세특의 중요성 학습</t>
        </is>
      </c>
      <c r="D7" s="5" t="inlineStr">
        <is>
          <t>우리 학교(277명 기준) 등급컷 계산: 1등급 28등, 2등급 94등, 3등급 183등, 4등급 249등까지 정확히 계산함
1차 정기고사 목표점수: 공통국어 70 / 공통수학 50 / 공통영어 60 / 한국사 50 / 통합사회 60 / 통합과학 60
영상 빈칸 채우기: 내신 5등급제, 1등급 상위10%, 지필+수행평가 합산(수행 비중 40~60%), 졸업 총 192학점, 세특(수업 적극 참여 중요), 자율활동/동아리활동/행동특성 및 종합의견 구분, 2028수능 공통과목(통합사회·통합과학)화, '역전'(생기부로 결과 뒤집기) 개념 학습</t>
        </is>
      </c>
      <c r="E7" s="5" t="inlineStr">
        <is>
          <t>개념 이해도가 높고 계산도 정확함(모둠 예시문항 정답 처리)</t>
        </is>
      </c>
      <c r="F7" s="5" t="inlineStr">
        <is>
          <t>느낀점/다짐 서술형 문항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①감사(대표인물 소크라테스/관련직업 시인) ②개방성(피카소/융합형 디자이너) ③신중성(제갈공명/과학수사관)
핵심 강점으로 '계획성' 선택, 강화 방안: 계획·습관 만들기
MIT 전공흥미검사: 1순위 음악(가수·성악가·연주자 / 실용음악학과·기악과), 2순위 영상·공연(영화감독·공연연출가 / 컨텐츠관련학과·연극영화과), 3순위 외국어·안무(한류아이돌 안무가 / 무용학과·실용무용과)
선호 직무유형: 글로벌형(판독 다소 어려움) / 중요 직업가치 1~3순위: 안정성 &gt; 경제적 풍족 &gt; 창의성</t>
        </is>
      </c>
      <c r="E8" s="5" t="inlineStr">
        <is>
          <t>강점검사·전공흥미검사 결과 모두 '음악·공연·무용' 계열로 수렴</t>
        </is>
      </c>
      <c r="F8" s="5" t="inlineStr">
        <is>
          <t>희망전공-추천전공 일치여부 분석 서술란 미기재</t>
        </is>
      </c>
    </row>
    <row r="9" ht="110" customHeight="1">
      <c r="A9" s="4" t="inlineStr">
        <is>
          <t>1-5</t>
        </is>
      </c>
      <c r="B9" s="5" t="inlineStr">
        <is>
          <t>최고 관심 직업 선정하기</t>
        </is>
      </c>
      <c r="C9" s="5" t="inlineStr">
        <is>
          <t>4~5차시 활동을 종합해 관심 직업 4개(안무가·성악가·통역사·연주가) 정보 정리 후 토너먼트 방식으로 최종 관심직업 선정</t>
        </is>
      </c>
      <c r="D9" s="5" t="inlineStr">
        <is>
          <t>안무가: 춤을 창작·재해석해 예술적으로 표현하는 직업 / 무용(예술)학과·현대무용과
성악가: 오페라·독창 등으로 음악·감정을 노래로 표현 / 성악과·음악학과·작곡과
통역사: 언어로 의사소통과 문화 교류를 돕는 직업 / 통번역학과·영미어문학과
연주가: 작곡된 음악을 악기로 연주해 전달 / 기악과·실용음악과
토너먼트 결과 최종 선택: 안무가 (선택 이유: 주변에서 춤에 재능이 있다는 말을 들음 / 성악가 포기 이유: 노래에 아직 자신이 없음)</t>
        </is>
      </c>
      <c r="E9" s="5" t="inlineStr">
        <is>
          <t>1차 관심 직업으로 '안무가'가 최종 확정됨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최고관심직업(복수 기재): 성악가, 연주가, 안무가, 댄서, 영상제작
본인 예측: 대체될 것 같은 일-연주가 / 협업할 것 같은 일-영상제작 / 절대 대체 불가-성악가
AI 실습 결과: 대체가능-기초 번역·일정관리 / 협업-디자이너·영상제작 / 절대 불가-심리상담사·사회복지사
예측 비교: 'AI 예측과 내 예측이 비슷했다'에 체크
나만의 강점: 공감
모둠토론(공룡으로 중요하게 생각하는 인간만의 역량): 본인 항목에 '감정, 목소리' 기재, 모둠 공통결론: 'AI가 절대 못하는 건 감정적이다'</t>
        </is>
      </c>
      <c r="E10" s="5" t="inlineStr">
        <is>
          <t>-</t>
        </is>
      </c>
      <c r="F10" s="5" t="inlineStr">
        <is>
          <t>미래 명함(슬로건 문장, 업그레이드 명함) 칸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무용학과 / 관심 대학: 한양대
학과 개요: 음악에 맞춰 무용·안무 역량을 키우고 다양한 동작과 음악적 안목을 기름
적성·흥미 연결: 다양한 노래 듣기를 좋아하고 안무 외우는 것도 좋아해 무용학과와 연결된다고 서술
고교 관련 과목: 체육, 예술, 사회
취득 가능 자격증: 한국무용실기지도사 / 졸업 후 진출분야: 무용강사, 안무가
지금부터 노력할 것: 댄스학원 지원, 다양한 안무 연습해보기</t>
        </is>
      </c>
      <c r="E11" s="5" t="inlineStr">
        <is>
          <t>희망 진로(안무가)와 학과 탐색(무용학과) 방향이 일관되게 이어짐</t>
        </is>
      </c>
      <c r="F11" s="5" t="inlineStr">
        <is>
          <t>대학 주요 교과목, 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학생부교과 '학교장추천인재'(4명, 교과70%+교과관련영역·서류종합평가30%, 수능최저 없음)
학생부종합 'Do Dream'(9명, 1단계 서류100%→2단계 면접40%+1단계60%, 수능최저 없음)
논술(5명, 학생부30%(교과20%+출결10%)+논술70%, 수능최저 있음)
정시 수능 나군(9명, 수능100% 일괄, 수능최저 미적용)
전형 적합도 대비 본인 준비도를 별점(☆~★)으로 자기평가</t>
        </is>
      </c>
      <c r="E12" s="5" t="inlineStr">
        <is>
          <t>조별 사전 연습 단계로, 본인이 실제 도전할 대학/전형(2단계 활동)은 아직 선택 전</t>
        </is>
      </c>
      <c r="F12" s="5" t="inlineStr">
        <is>
          <t>반영교과·반영과목수·반영방법 표, 2단계 '도전 대입 전형' 체크 및 선택이유 미기재</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교육학과
학업역량: 1순위 B, 2순위 A, 3순위 C (이유 미기재)
진로역량: 1순위 B, 2순위 A, 3순위 C (이유 미기재)
공동체역량: 1순위 A(이유: 봉사활동 등을 진행하려 노력하며 리더 역할을 맡아 친구의 의견을 잘 들어줌), 2순위 B, 3순위 C
예상결과: B-A-C / 실제결과: A-B-C (불일치)
느낀 점: '좋은 활동이었다고 생각함' / 배운 점: 미기재</t>
        </is>
      </c>
      <c r="E13" s="5" t="inlineStr">
        <is>
          <t>학업·진로역량 순위에는 구체적 이유를 적지 않았고, 공동체역량에서만 근거를 서술함</t>
        </is>
      </c>
      <c r="F13" s="5" t="inlineStr">
        <is>
          <t>학업·진로역량 이유, 배운 점 미기재</t>
        </is>
      </c>
    </row>
    <row r="14" ht="224"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습관형성 (이름란에 '정솔미, 임성미' 함께 기재)
트랙 선택 이유: 미기재
[C 습관형성] 닮고 싶은 습관: 매일 한국어 단어 최소 10개나 한국어 책에서 문제 푸는 습관
습관이 진로에 중요한 이유: 앞으로 계속 한국에 살 생각이어서 대학 입시와 취업을 위해 TOPIK 시험에서 성적을 취득해야 된다
개선하고 싶은 습관: 지금은 규칙적으로 공부하지 않아서 실력이 느리게 느는 것 같기 때문
8차시 계획: 2차시 5차시까지 외울 단어 작성 → 3차시 단어 일부 외움·암기 → 4차시 복습, 새로운 단어 외움 → 5차시 모든 단어 복습, 남은 단어 공부 → 6차시 발표 내용 작성 → 7차시 발표 연습
한 줄 다짐: (with 임성미) 책임감 가지고 열심히 하겠다</t>
        </is>
      </c>
      <c r="E14" s="5" t="inlineStr">
        <is>
          <t>학생 본인이 '앞으로 계속 한국에 살 생각', '대입·취업을 위해 TOPIK 성적 필요'라고 직접 적음 → 한국어를 제2언어로 학습 중인 학생으로 확인됨(2차시 코멘트의 '확인 권장' 사항이 해소됨). 8차시 계획을 차시별로 빠짐없이 채운 성실한 작성</t>
        </is>
      </c>
      <c r="F14" s="5" t="inlineStr">
        <is>
          <t>트랙 선택 이유 칸 미기재</t>
        </is>
      </c>
    </row>
    <row r="15" ht="280"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임성미)
최근 목표: 토픽(TOPIK) 5급 따기 / 계획: 2026년에는 시험 준비해서 토픽 보기
자기평가: 목표 달성 '보통', 계획 실행 '만족' — 이유: 아직 목표를 달성하지 않아서 보통, 계획 실행은 괜찮다고 생각함
장애물 → 개선방안: 이미 배웠던 내용을 까먹는 것 → 당분간 복습하기
SMART 목표: 매일 한국어 어휘 늘리기
· S: 조회 전이나 쉬는 시간, 학교 끝나고 나서 단어 최소 10개 암기
· M: 일주일에 5일 50~60개 단어 공부, 주말엔 배운 단어 복습하고 단순한 문장 만들기
· A: 배워야 하는 단어를 나눠서 하루 동안 다 암기
· R: 단어 배워서 토픽 5급에 맞는 문제를 풀고 시험 보기
· T: 시험 볼 날까지 매일 실천
인증 방법: 기타(동료나 친구에게 일주일에 한 번 확인받기) / 최종 확인 방법: 단어 시험</t>
        </is>
      </c>
      <c r="E15" s="5" t="inlineStr">
        <is>
          <t>목표가 TOPIK(한국어능력시험) 5급·한국어 어휘 늘리기로, 한국어를 학습 중인 학생임(1차시 활동지에 '앞으로 계속 한국에 살 생각이어서 대입·취업을 위해 TOPIK 성적이 필요하다'고 직접 적음). 1학기 희망 진로(안무가)와는 별개인 학습 습관 목표이며, SMART 각 항목을 빠짐없이 구체적으로 작성함</t>
        </is>
      </c>
      <c r="F15" s="5" t="inlineStr">
        <is>
          <t>장애물 2번, 6번 최종 습관 목표 미기재</t>
        </is>
      </c>
    </row>
    <row r="16" ht="343"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 이번 주 목표: 5일 동안 단어 50개 외워서 이틀 동안 외운 단어 완벽하게 암기와 복습 / 확인(인증) 방법: 동료나 친구에게 일주일에 한 번 확인받기
· 월~금 단어 10개씩 공부, 토·일 복습 — 7일 모두 실천 ○
· 오늘의 한 줄: '오늘 쉬웠다, 앞으로도 이어서 하자'(월) → '이틀 성공 벌써 20단어 외웠다!!'(화) → '지금까지 포기하지 않아서 좋아!'(목) → '까먹은 단어 있었다. 그래도 복습했으니까 이제 안 까먹겠지?'(토) → '헷갈린 단어 몇 개 있는데 괜찮아! 계속 복습하면 완벽하게 암기할 수 있을 거야!'(일)
· 이번 주 실천 일수: 7일 / 7일
· 느낀 점: '계획대로 거의 다 실천해서 기분 좋다. 하지만 아직도 친구에게 확인받지 않았지만 최대한 빨리 확인받고 다음 주에도 완벽하게 하도록 열심히 하겠다.'</t>
        </is>
      </c>
      <c r="E16" s="5" t="inlineStr">
        <is>
          <t>2차시 목표(TOPIK 대비 한국어 단어 매일 10개 이상)를 5일 암기+2일 복습 구조로 짜서 7일 모두 실천함. 날마다 스스로를 격려하는 한 줄이 인상적임. 인증(친구 확인)은 아직 받지 못했다고 솔직히 적음.</t>
        </is>
      </c>
      <c r="F16" s="5" t="inlineStr">
        <is>
          <t>인증 칸 체크 없음(친구 확인 아직 안 받음)</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10102 김민성)</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③ / 선생님께 궁금한 점: '북한을 어떻게 가셨죠?'
자기소개 문제 2개는 필체 판독이 어려워 정확한 내용 확인 불가(선생님 육안 확인 권장)
진로탐색 태도: 대부분 '보통이다'로 응답, '진로 목표를 위해 필요한 공부를 알고 노력한다'는 '매우 그렇다'
상담 경험: '그렇지 않다' / 상담 상대는 '교사'로 응답(응답 항목 간 다소 모순 있어 확인 필요)
진로 결정 시 중요 기준: 나의 소질과 적성 / 정보탐색: 인터넷 검색
진로 노력: 틈틈이 정보 수집 / 어려운 점: 진로 체험 기회 부족</t>
        </is>
      </c>
      <c r="E5" s="5" t="inlineStr">
        <is>
          <t>자기소개 및 다짐(5글자) 칸의 필체가 흐리거나 알아보기 어려움</t>
        </is>
      </c>
      <c r="F5" s="5" t="inlineStr">
        <is>
          <t>약속 체크박스(완벽/적극/존중/집중/연결) 표시 확인 안 됨, 다짐 5글자 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지필+수행평가 합산(수행 비중 경기도 40%→30%로 감소), 졸업 총 192학점, 1학년 때 희망계열 정하기 권장
세특 핵심 키워드: 세부능력 및 특기사항, 수업에 적극적으로 참여
창체 영역: 자율활동/동아리활동/행동특성 및 종합의견 구분
2028수능 공통과목(통합사회·통합과학)화, 정시에도 내신 반영 대학 증가, '역전'·'자주성' 개념 학습</t>
        </is>
      </c>
      <c r="E6" s="5" t="inlineStr">
        <is>
          <t>-</t>
        </is>
      </c>
      <c r="F6" s="5" t="inlineStr">
        <is>
          <t>느낀점/다짐 서술형 문항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여백에 '동점자 중간석차 적용 = 석차(동석차 인원수-1)/2' 공식을 스스로 메모함
등급컷 계산(277명 기준): 1등급 28등, 2등급 94등, 3등급 183등, 4등급 249등까지 — 계산 과정에서 수정한 흔적 있으나 최종 정답 도출
동점자 질문 답: 전원 2등급 / 대학이 깊게 보는 항목: 과목별 세부능력 및 특기사항
1차 정기고사 목표점수: 공통수학만 100점으로 기재, 나머지 과목은 공란
4/8~4/20 학습 계획표: 수학 과목 위주로 매우 구체적으로 작성(학원 시험범위 정리, 단원별 정리, 프린트 풀기 등), 다른 과목 계획은 공란</t>
        </is>
      </c>
      <c r="E7" s="5" t="inlineStr">
        <is>
          <t>수학 학습 계획을 스스로 세분화해 작성하는 등 수학 과목에 대한 주도성이 두드러짐. 반면 국어·영어·사회·과학 계획은 비어 있어 편중 우려</t>
        </is>
      </c>
      <c r="F7" s="5" t="inlineStr">
        <is>
          <t>목표점수·학습계획 모두 수학 외 과목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①도덕성(임마누엘 칸트/의약품인허가 전문가·교사) ②호기심(알버트 아인슈타인/뇌공학자·과학자·기자) ③이타심(노년플래너·간호사·성직자)
핵심 강점 '도덕성' 선택, 강화 방안: 자원봉사하기, 학교 규칙 잘 지키기
MIT 전공흥미검사: 1순위 전기·전자·컴퓨터(추천 기계·조선·항공 / 자율주행차 공학자·모바일앱 개발자 / 기계공학과·게임공학과), 2순위 기계·조선·항공(추천 바이오·화학 / 로봇공학기술자 / 신소재공학과·기계공학과), 3순위 바이오·화학(추천 전기·전자·정보통신 / 생명공학 연구원 / 생명공학과)
희망전공-추천전공 일치 여부: '일치하다'로 간단히 응답
선호 직무유형: 연구자형 / 중요 직업가치 1~3순위: 경제적 풍족 &gt; 안정성 &gt; 사회봉사</t>
        </is>
      </c>
      <c r="E8" s="5" t="inlineStr">
        <is>
          <t>강점검사·전공흥미검사 결과가 모두 '공학(기계·로봇·전자)' 계열로 수렴함</t>
        </is>
      </c>
      <c r="F8" s="5" t="inlineStr">
        <is>
          <t>일치여부 서술이 한 단어('일치하다')로 짧게 작성됨 — 근거 보완 지도 필요</t>
        </is>
      </c>
    </row>
    <row r="9" ht="110" customHeight="1">
      <c r="A9" s="4" t="inlineStr">
        <is>
          <t>1-5</t>
        </is>
      </c>
      <c r="B9" s="5" t="inlineStr">
        <is>
          <t>최고 관심 직업 선정하기</t>
        </is>
      </c>
      <c r="C9" s="5" t="inlineStr">
        <is>
          <t>4~5차시 활동을 종합해 관심 직업 4개(로봇공학자·기계공학기술자·해양공학기술자·항공우주공학기술자) 정보 정리 후 토너먼트로 최종 관심직업 선정</t>
        </is>
      </c>
      <c r="D9" s="5" t="inlineStr">
        <is>
          <t>로봇공학자: 로봇의 운용환경·규정 등을 검토해 기술을 개발·설계 / 기계공학과·제어로봇공학과
기계공학기술자: 기계공학 원리를 이용해 생산설비·시스템을 연구·설계 / 기계공학과·기계설계공학과
해양공학기술자: 해양에너지 연구개발 및 해양환경 관련 시스템 연구 / 해양공학과·조선해양공학과
항공우주공학기술자: 비행기·드론·무인선·위성 등 연구, 항공기술 연구 / 항공우주공학과
토너먼트 최종 선택: 기계공학기술자 (선택 이유: 평소 기계에 관심이 많았음 / 해양공학기술자 포기 이유: 관심은 있으나 기계 쪽에 더 집중하고 싶음)
2단계 선택이유: 기계공학기술자-기계 원리를 이해해 직접 설계해본 경험, 수학·과학에 흥미 있음 / 해양공학기술자-해양 동물·자원에 대한 호기심</t>
        </is>
      </c>
      <c r="E9" s="5" t="inlineStr">
        <is>
          <t>1차 관심 직업으로 '기계공학기술자'가 최종 확정됨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기계공학기술사
본인 예측: 대체될 것 같은 일-일반 생산설비(자동화) 설계 / 협업할 것 같은 일-생산시스템 연구 설계 / 절대 대체 불가-생산시스템 제조 및 운영
AI 실습 결과: 대체가능-표준도면·모델링 자동생성, 초기단계 계산 / 협업-제너레이티브 디자인, 예측정비·고장진단 시스템 구축 / 절대 불가-최종 의사결정 및 법적·윤리적 책임, 이해관계자 간 복잡한 조율·소통, 전례 없는 통합적 문제해결
예측 비교: 'AI 예측과 내 예측이 비슷했다'에 체크
나만의 강점: 확실한 결정
미래 명함 슬로건: 'AI가 [모델링]하는 동안, 나는 [결정]한다'
모둠토론(공룡으로 중요하게 생각하는 인간만의 역량): 본인 항목에 '복합적 문제해결' 기재</t>
        </is>
      </c>
      <c r="E10" s="5" t="inlineStr">
        <is>
          <t>-</t>
        </is>
      </c>
      <c r="F10" s="5" t="inlineStr">
        <is>
          <t>모둠 공통결론 문장과 업그레이드 명함 칸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기계공학과 / 관심 대학: 한양대학교 ERICA
학과 개요: 서로 다른 기계나 생산 설비 시스템을 개발하기 위한 아이디어를 계획하고 관련 시스템을 설계함
적성·흥미 연결: 어렸을 때부터 만들기(클레이 등)로 원하는 것을 정해 만드는 것을 좋아하고 잘했음 → 개발·아이디어·설계로 연결
고교 관련 과목: 물리학, 화학, 수학
취득 가능 자격증: 기계설계기사, 기계기술자 / 졸업 후 진출분야: IT 기업
지금부터 노력할 것: 학과 관련 과목들을 열심히 공부하기</t>
        </is>
      </c>
      <c r="E11" s="5" t="inlineStr">
        <is>
          <t>희망 진로(기계공학기술자)와 학과 탐색(기계공학과) 방향이 일관됨</t>
        </is>
      </c>
      <c r="F11" s="5" t="inlineStr">
        <is>
          <t>대학 주요 교과목, 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일괄 학생부교과70%+교과관련영역 서류종합평가30%)
학생부종합 'Do Dream'(9명, 1단계 서류100%→2단계 면접40%+1단계60%)
논술(5명, 일괄 학생부30%(교과20%+출결10%)+논술70%, 수능최저 있음)
정시 수능 나군(9명, 일괄 수능80%+학생부평가20%, 수능최저 없음)</t>
        </is>
      </c>
      <c r="E12" s="5" t="inlineStr">
        <is>
          <t>조별 사전 연습(전형 요소 분석) 단계로, 학번·이름·전형 적합도 자가진단(별점)·2단계 도전 전형 선택 모두 미기재</t>
        </is>
      </c>
      <c r="F12" s="5" t="inlineStr">
        <is>
          <t>학번/이름 미기재, 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소비자학 전공
학업역량: 1순위 C(이유: 현실 경제에 대한 호기심으로 사회 변화를 비판적으로 분석함), 2순위 A, 3순위 B
진로역량: 1순위 A/B(표기 다소 불명확, 이유: 탐구력과 탐구 의지를 바탕으로 여러 활동을 함), 2순위 A, 3순위 C
공동체역량: 1순위 A(이유: 자신의 진로로 친구들에게 긍정적 영향을 주고, 선생님·친구들에게 도움을 줌), 2순위 B, 3순위 C
예상결과: B-A-C / 실제결과: B-A-C (일치)
느낀 점·배운 점: 미기재</t>
        </is>
      </c>
      <c r="E13" s="5" t="inlineStr">
        <is>
          <t>예상 순위와 실제 결과가 정확히 일치한 몇 안 되는 사례</t>
        </is>
      </c>
      <c r="F13" s="5" t="inlineStr">
        <is>
          <t>느낀 점·배운 점 미기재, 진로역량 1순위 표기 다소 불명확</t>
        </is>
      </c>
    </row>
    <row r="14" ht="210"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트랙 선택 이유: 중학교 때 기계공학과를 체험하는 전자과 영상을 보고, 계산하고 물리 원리를 활용해보고, 다른 전자공학이나 기계공학을 융합하는 진로에 흥미를 느끼는 것 같아서 공학계열 직업 중 기계공학자 직업을 조사하고 싶고, 기계공학이 다른 공학 기술과 융합하여 무엇을 만들고 설계하는지 알아보고 싶어서 주제탐구 트랙을 선택함
탐구 유형: 체크 흔적이 있으나 어느 쪽인지 불명확
관심 분야 3가지(오른쪽 끝이 스캔에서 잘림): 나노분자 기술에 들어간 정밀시스템 원리 / AI의 한계와 인간을 대체하지 못하는 것 / 저중량 고반발 ○○○ 각각의 장(단점)…
잠정 탐구 주제·선택 이유: 미기재
2쪽(8차시 계획·한 줄 다짐): 전부 공란</t>
        </is>
      </c>
      <c r="E14" s="5" t="inlineStr">
        <is>
          <t>트랙 선택 이유를 매우 길게, 기계공학에 대한 관심의 계기(중학교 때 본 영상)까지 구체적으로 서술함 → 2차시 '로봇·자동화' 주제로 이어짐. 반면 잠정 주제와 8차시 계획은 비어 있음</t>
        </is>
      </c>
      <c r="F14" s="5" t="inlineStr">
        <is>
          <t>관심 분야 칸 오른쪽이 스캔 잘림(원본 확인 필요), 잠정 주제·8차시 계획·다짐 미기재</t>
        </is>
      </c>
    </row>
    <row r="15" ht="120"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미기재)
핵심 탐구 질문: 로봇 및 자동화로 인한 미래 사회 영향
하위 질문① 로봇 및 자동화의 역사(현재 로봇 및 자동화 시장은 어떻게 발전했을까)
하위 질문② 미래 가정에서의 로봇 보급률
하위 질문③ 미기재
활용할 자료원: 미기재</t>
        </is>
      </c>
      <c r="E15" s="5" t="inlineStr">
        <is>
          <t>1학기 희망 진로(기계공학기술자·기계공학과)와 직결되는 주제를 선택해 진로 일관성이 이어짐. 다만 핵심 질문이 의문문이 아닌 주제명 형태이고, 하위 질문도 2개에 그쳐 질문 구체화 보완 필요</t>
        </is>
      </c>
      <c r="F15" s="5" t="inlineStr">
        <is>
          <t>하위 질문③, 활용할 자료원 미기재</t>
        </is>
      </c>
    </row>
    <row r="16" ht="239"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2개 + 메모
· ① 하이테크정보 「2026 세계 로봇 보고서」: '유니메이트'라는 로봇을 1954년 조지 데볼이 최초로 특허 출원했고, 현재 산업용 로봇이 500만 대가 넘음
· ② Mordor Intelligence의 가정용 로봇 시장 분석 신문 기사: 2025년 수요의 절반 이상(54.1%, 판독 추정)을 진공청소기·물걸레형 로봇이 차지했고, 매년 17%씩 성장할 것으로 예상
· 메모: '로봇의 역사가 이렇게 빠른 속도로 발전한 점이 흥미롭다. 다음 심화 탐구할 때 이 부분을 조사해 보고 싶다.'</t>
        </is>
      </c>
      <c r="E16" s="5" t="inlineStr">
        <is>
          <t>2차시 주제(로봇·자동화의 미래 사회 영향)에 맞는 산업 보고서·시장 분석을 찾았고, 메모로 다음 탐구 방향(로봇 발전 속도)을 정함. 다만 자료가 2개뿐이고 '사회 영향'(일자리 등)을 다룬 자료는 아직 없음.</t>
        </is>
      </c>
      <c r="F16" s="5" t="inlineStr">
        <is>
          <t>자료 ③~⑤ 미기재 / 자료 ② 수치 일부 판독 어려움</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10103 김민정)</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② / 선생님께 첫인사: '잘 부탁드립니다! 근데 왜 안산강서고로 오셨나요?'
자기소개: A형, 선부중학교 출신, 3학년(?) 체크 / 오빠 있음, 키 160 이상(체크), 공학원 다님
진로탐색 태도: '자신있게 말할 수 있다'는 '그렇지 않다', '꿈을 위해 열심히 노력한다'는 '그렇다', 상담 경험 '그렇다'
상담 상대: 학원 강사 / 진로결정 중요 기준: 나의 소질과 적성 / 정보탐색: 진로 상담
노력: 흥미와 적성을 찾기 위한 비교과 활동 참여 / 어려운 점: 나의 특성(흥미·적성·가치관·성격 등)을 잘 몰라서
가장 중요한 약속: '집중'(이유: 더 많은 걸 알아내서 다시 진로에 대해 생각할 수 있어서)
새롭게 깨달은 점: '자기의 적성에 맞아야 한다'
다짐 5글자: 글자별 판독이 어려워 정확한 문구 확인이 필요함(원본 확인 권장)</t>
        </is>
      </c>
      <c r="E5" s="5" t="inlineStr">
        <is>
          <t>상담 경험(있음)과 상담 상대(학원강사) 응답이 구체적이고 일관됨 — 이미 진로 관련 외부 상담을 받아본 학생으로 보임</t>
        </is>
      </c>
      <c r="F5" s="5" t="inlineStr">
        <is>
          <t>다짐 5글자 필체 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 수행평가 비중(경기도 40%→30% 감소), 졸업 총 192학점, 희망전공에 맞게 과목 선택
세특 핵심: 세부능력 및 특기사항, 수업에 적극 참여
창체 영역: 자율(자치)활동/동아리활동/행동특성 및 종합의견 구분
2028수능 공통과목(통합사회·통합과학)화, 정시에도 내신·생기부 반영 대학 증가, '역전'·'주도성' 개념 학습</t>
        </is>
      </c>
      <c r="E6" s="5" t="inlineStr">
        <is>
          <t>-</t>
        </is>
      </c>
      <c r="F6" s="5" t="inlineStr">
        <is>
          <t>느낀점/다짐 서술형 문항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 수정 없이 정확하게 계산함
1차 정기고사 목표점수: 표 안에는 미기재이나 상단 여백에 빨간 글씨로 과목별 목표점수로 보이는 숫자(50·70·70·70·30·30)를 메모함(정확한 과목 대응은 원본 확인 필요)
동점자/세특/NEIS 질문 3개는 모두 미기재
4/10~4/20 학습 계획표: 국어·수학·한국사·통합과학 등 여러 과목에 걸쳐 계획을 세움 (단원 마무리 문제풀이, 단어 1074개 암기, 프린트 풀이, 임진왜란 단원 대비, 지문 읽고 이해하기 등)</t>
        </is>
      </c>
      <c r="E7" s="5" t="inlineStr">
        <is>
          <t>10101·10102 학생과 달리 여러 과목에 고르게 학습 계획을 분산해서 세움</t>
        </is>
      </c>
      <c r="F7" s="5" t="inlineStr">
        <is>
          <t>목표점수 표 미기재(여백 메모로 대체), 3번 문항(동점자·세특·NEIS) 전부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①원만성(넬슨 만델라/국제통상전문가·외교관·대기업 인사관리자) ②공감(마더 테레사/동물매개 심리치료사·상담전문가) ③이타심(이태석/노년플래너·간호사·특수학교 교사)
핵심 강점 '공감' 선택, 강화 방안: 대화를 많이 해본다, 심리 관련 학습
MIT 전공흥미검사: 1순위 영상·공연(추천 영상·공연 / 영화감독·배우·방송연기·공연연출가 / 연극영화과·연기예술과·시각예술과), 2순위 음악(추천 무용·체육 / 오페라·뮤지컬 가수, 안무가 등 / 연극영화과·국악과 등), 3순위 무용·체육(추천 음악 / 연주가·지휘자·작곡가·가수·성악가 / 음악학과·기악과·작곡과 등)
희망-추천 전공 일치여부 서술: '2·3순위가 뒤바뀜 — 작곡도 해보고 싶었지만 운동(무용)으로 꿈을 갖게 되어서'라고 이유를 구체적으로 서술함
선호 직무유형: 예술가형 / 중요 직업가치 1~3순위: 안정성 &gt; 사회봉사 &gt; 사회적 인정</t>
        </is>
      </c>
      <c r="E8" s="5" t="inlineStr">
        <is>
          <t>강점·전공흥미검사 모두 '연기·영상·공연' 계열로 수렴하며, 희망전공-추천전공 불일치 이유를 스스로 분석해 서술함(자기이해도 높음)</t>
        </is>
      </c>
      <c r="F8" s="5" t="inlineStr">
        <is>
          <t>-</t>
        </is>
      </c>
    </row>
    <row r="9" ht="110" customHeight="1">
      <c r="A9" s="4" t="inlineStr">
        <is>
          <t>1-5</t>
        </is>
      </c>
      <c r="B9" s="5" t="inlineStr">
        <is>
          <t>최고 관심 직업 선정하기</t>
        </is>
      </c>
      <c r="C9" s="5" t="inlineStr">
        <is>
          <t>4~5차시 활동을 종합해 관심 직업 4개(영화배우및탤런트·직업운동선수·연예기획·작곡가) 정보 정리 후 토너먼트로 최종 관심직업 선정</t>
        </is>
      </c>
      <c r="D9" s="5" t="inlineStr">
        <is>
          <t>영화배우 및 탤런트: 연극·영화·드라마 속 인물을 연기해 관객·시청자에게 전달 / 연극영화과·연기예술과·방송연예과
직업운동선수: 해당 종목의 선수 활동 / 스포츠 관련학과(자세한 학과명 판독 어려움)
연예기획: 작품을 기획하고 시나리오를 검토, 배우와 계약을 진행하는 등 제작 전반을 지원 / 문화예술경영학과
작곡가: 자신이 만든 곡을 연주·편곡함 / 작곡학과·작곡과
토너먼트 최종 선택: 영화배우 및 탤런트 (선택 이유: 예전부터 꿈꿔왔고 지금까지 진행 중인 꿈이기 때문 / 작곡가 포기 이유: 다른 노래를 활용하는 방향보다 배우를 더 꿈꾸고 있어서)
2단계 선택이유: 영화배우및탤런트-계속 배우를 해왔고 지금도 그 꿈을 갖고 있음 / 작곡가-예전부터 작곡을 해보고 싶었고 노래 듣기를 좋아함</t>
        </is>
      </c>
      <c r="E9" s="5" t="inlineStr">
        <is>
          <t>1차 관심 직업으로 '영화배우 및 탤런트'가 최종 확정됨 — 진로 희망이 여러 차시에 걸쳐 매우 일관됨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영화배우
본인 예측: 대체될 것 같은 일-배경·엑스트라 생성, 얼굴 보정, 목소리 / 협업할 것 같은 일-대본 윤색, 특수효과, 대사 연습 / 절대 대체 불가-감정 표현·연기, 자연스러운 대처 능력(동그라미로 강점 표시)
AI 실습 결과: 대체가능-엑스트라, 외모·음성 보정, 가상 캐릭터 연기 / 협업-대본·캐릭터 분석, 연기 연습·피드백, 촬영 및 특수효과 제작 / 절대 불가-진심 어린 감정 전달, 창의적 해석과 표현, 연기자 간 공감·소통
예측 비교: 'AI 예측과 내 예측이 비슷했다'에 체크, 가장 달랐던 점: 가상 캐릭터 연기
모둠토론(정솔미-성악가, 김채린-약학연구원, 본인-영화배우): 본인 항목에 '연기, 자연스러운 대처능력' 기재
모둠 공통결론: 'AI가 절대 못하는 건 감정적인 것이다'</t>
        </is>
      </c>
      <c r="E10" s="5" t="inlineStr">
        <is>
          <t>-</t>
        </is>
      </c>
      <c r="F10" s="5" t="inlineStr">
        <is>
          <t>나만의 강점, 미래 명함(슬로건·업그레이드 명함) 항목 모두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연극영화학과 / 관심 대학: 안양대학교, 가천대학교
학과 개요: 연극·영화의 다양한 분야(연기, 연출, 극작, 영화제작, 영화비평·이론, 영화 마케팅 등)에서 전문성을 발휘하도록 이론과 실습을 함께 학습한다고 서술
고교 관련 과목: 언어, 연극과 영화
취득 가능 자격증: 무대예술전문인, 영상연출전공인 / 졸업 후 진출분야: 영화사
지금부터 노력할 것: 열심히 암기를 외워서 공부해야겠다</t>
        </is>
      </c>
      <c r="E11" s="5" t="inlineStr">
        <is>
          <t>희망 진로(영화배우)와 학과 탐색(연극영화학과) 방향이 일관됨</t>
        </is>
      </c>
      <c r="F11" s="5" t="inlineStr">
        <is>
          <t>적성·흥미 연결 서술, 대학 주요 교과목, 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학생부교과70%+교과관련영역 서류종합평가30%, 수능최저 미적용)
학생부종합 'Do Dream'(9명, 1단계 서류100%→2단계 면접40%+1단계60%, 수능최저 미적용)
논술(5명, 학생부30%(교과20%+출결10%)+논술70%, 수능최저 적용)
정시 수능 나군(9명, 해당 항목 미기재)</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스마트시스템공학과
학업역량: 1순위 B(수정 흔적 있음, 이유: B와 C 모두 A가 많으나 B가 서로 연계성이 깊어 보임), 2순위 C, 3순위 A
진로역량: 1순위 A(이유 미기재), 2·3순위 미기재
공동체역량: 전체 미기재
예상결과: C-A-B / 실제결과: A-C-B (불일치)
느낀 점: '열심히 살아야 한다는 걸 느꼈다' / 배운 점: '공부해야한다'</t>
        </is>
      </c>
      <c r="E13" s="5" t="inlineStr">
        <is>
          <t>학업역량 외 진로·공동체역량 항목을 끝까지 채우지 못함</t>
        </is>
      </c>
      <c r="F13" s="5" t="inlineStr">
        <is>
          <t>진로역량 이유, 공동체역량 전체 미기재</t>
        </is>
      </c>
    </row>
    <row r="14" ht="238"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(with 박수진)
트랙 선택 이유: 평소에 운동과 교육에 관심이 많고 합기도 사범으로 진로를 생각하고 있어, 합기도와 관련된 주제를 직접 탐구해보며 진로에 대해 더 자세히 알아보고 싶어서
탐구 유형: ① 진로 연계형
관심 분야: 스포츠 분야, 교육, 합기도
그렇게 생각한 이유: 평소 합기도를 배우면서 운동과 무술에 관심이 생겼고, 장래희망인 합기도 사범과 관련된 분야를 더 자세히 알아보고 싶기 때문
잠정 탐구 주제: 합기도 사범에게 필요한 자질과 역할 (처음 쓴 문구는 지움)
주제 선택 이유: 합기도 사범은 운동을 잘하는 것뿐 아니라 학생들을 가르치고 지도하는 능력도 중요하다고 생각했다. 그래서 좋은 합기도 사범이 되기 위해 어떤 자질과 역할이 필요한지 알아보고 싶어서
2쪽(8차시 계획·한 줄 다짐): 전부 공란</t>
        </is>
      </c>
      <c r="E14" s="5" t="inlineStr">
        <is>
          <t>장래희망을 '합기도 사범'이라고 직접 밝힘(직접 합기도를 배우는 중). 1학기 1-7(연극영화학과)과는 다른 방향이며, 2차시 '스포츠 사범의 교육 방식' 주제와 정확히 이어짐</t>
        </is>
      </c>
      <c r="F14" s="5" t="inlineStr">
        <is>
          <t>8차시 계획, 한 줄 다짐 미기재</t>
        </is>
      </c>
    </row>
    <row r="15" ht="168"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박수진)
핵심 탐구 질문: 스포츠 사범의 교육 방식은 학생들의 체력과 자신감 향상에 어떤 영향을 미치는가?
하위 질문① 스포츠 사범은 학생들의 체력 향상을 위해 어떤 교육 방법을 사용하는가?
하위 질문② 스포츠 활동은 학생들의 자신감과 협동심 향상에 어떤 영향을 미치는가?
하위 질문③ 학생들의 흥미와 수준에 맞는 체육 교육을 하기 위해 스포츠 사범에게 필요한 역량은 무엇인가?
활용할 자료원: 체육 관련 논문·기사, 교육부 자료, 스포츠·체육 관련 기관 사이트, 체육 활동 관련 설문조사</t>
        </is>
      </c>
      <c r="E15" s="5" t="inlineStr">
        <is>
          <t>개별프로젝트 1차시에서 장래희망을 '합기도 사범'이라고 직접 밝혔고(합기도를 배우는 중), 이번 주제는 그와 정확히 이어짐(1학기 1-7 탐색 학과는 연극영화학과였음). 함께한 친구 박수진(10110)과는 서로 다른 주제로 작성함. 질문·자료원 모두 완성도 높음</t>
        </is>
      </c>
      <c r="F15" s="5" t="inlineStr">
        <is>
          <t>-</t>
        </is>
      </c>
    </row>
    <row r="16" ht="380"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5개 + 메모
· ① 국민체육진흥공단 '체육지도자 자격검정 및 연수': 생활스포츠지도사 자격 종목에 합기도가 포함되어 있고, 스포츠교육학·스포츠윤리·스포츠심리학 등을 배움
· ② 문화체육관광부 「2025년 국민생활체육조사」: 우리나라 사람들의 생활체육 참여율과 운동 목적 등을 조사했으며, 운동하는 가장 큰 이유는 건강 유지와 체력 증진
· ③ 질병관리청 '신체활동! 알려드립니다!': 규칙적인 신체활동은 체력을 높이고 질병 예방과 정신건강 유지에 도움
· ④ 국기원 '태권도 지도자 양성': 무예 지도자는 전문 지식과 지도 능력뿐 아니라 인격적 소양도 갖추는 것이 중요
· ⑤ 국기원 '태권도 정신': 무예를 배우며 인내·용기·예의·정의·봉사 같은 태도를 기를 수 있음
· 메모: '자료를 조사하면서 합기도 사범은 운동 기술만 가르치는 것이 아니라 학생들의 체력과 안전, 예의와 자신감까지 지도하는 역할을 한다고 생각했다. 나도 학생들에게 좋은 영향을 주는 사범이 되고 싶다.'</t>
        </is>
      </c>
      <c r="E16" s="5" t="inlineStr">
        <is>
          <t>정부·공공기관 자료 5개로 하위 질문(사범의 자격·역할, 체력·자신감 효과)을 고르게 뒷받침함. 메모에서 탐구 결과를 '좋은 영향을 주는 사범'이라는 자기 진로 다짐으로 연결함. 1차시부터 합기도 사범 진로가 일관됨.</t>
        </is>
      </c>
      <c r="F16" s="5" t="inlineStr">
        <is>
          <t>없음</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10104 김채원)</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②
자기소개: 중학교 때 방송동아리 활동(참), MBTI ESFP(거짓 표시), 피아노를 잘 침(참) / 동안이라는 말 자주 들음(거짓 표시), 수학을 좋아함(참), 영어를 좋아함(참)
진로탐색 태도: '자신있게 말할 수 있다'·'열심히 노력한다'·'공부 필요성을 알고 노력한다' 모두 '그렇다', 상담 경험은 '매우 그렇다'로 응답 — 4명 중 상담 경험 수치가 가장 높음
상담 상대: 학원강사 / 진로결정 중요 기준: 나의 소질과 적성
정보탐색: 진로 상담, 부모님 말씀 (복수 선택) / 노력: 틈틈이 정보 수집
어려운 점: 나의 특성(흥미·적성·가치관·성격 등)을 잘 몰라서
가장 중요한 약속: '집중'(이유: 활동 시간에 집중해야 내 미래 적성과 진로 관련 정보를 더 얻을 수 있을 것 같아서)
새롭게 깨달은 점: '열심히 들어야겠다는 것을 깨달았다'
다짐 5글자: 필체 판독이 다소 어려워 정확한 문구 확인 필요(원본 확인 권장)</t>
        </is>
      </c>
      <c r="E5" s="5" t="inlineStr">
        <is>
          <t>상담 경험('매우 그렇다')과 정보탐색 경로(진로상담+부모님)가 다른 학생보다 적극적임</t>
        </is>
      </c>
      <c r="F5" s="5" t="inlineStr">
        <is>
          <t>다짐 5글자 일부 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지필+수행평가 합산(수행 비중 경기도 40%→30% 감소), 졸업 총 192학점, 2학년 때부터 (진로/희망전공)에 맞게 과목 선택
세특 핵심: 세부능력 및 특기사항, 수업에 적극 참여
창체 영역: 자율활동/동아리활동/행동특성 및 종합의견 구분
2028수능 공통과목(통합사회·통합과학)화, 정시에도 내신 반영 대학 증가, '역전'·'자기주도성' 개념 학습</t>
        </is>
      </c>
      <c r="E6" s="5" t="inlineStr">
        <is>
          <t>-</t>
        </is>
      </c>
      <c r="F6" s="5" t="inlineStr">
        <is>
          <t>느낀점/다짐 서술형 문항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동점자/세특/NEIS 질문 3개는 모두 미기재
1차 정기고사 목표점수: 공통수학 70~80점, 한국사 70점대만 기재, 나머지 과목(국어·영어·통합사회·통합과학)은 공란
4/10~4/20 학습 계획표: 한국사 과목에 시간대까지 구체적으로 집중 계획을 세움(예: 4/10 16:10~17:30 전근대 개념정리·필기, 4/12 11:00~13:00 개념정리·문제풀이·오답정리 등), 다른 과목 계획은 전혀 없음</t>
        </is>
      </c>
      <c r="E7" s="5" t="inlineStr">
        <is>
          <t>학습 계획이 한국사 한 과목에만 매우 집중되어 있어 다른 과목 학습 균형에 대한 지도가 필요해 보임</t>
        </is>
      </c>
      <c r="F7" s="5" t="inlineStr">
        <is>
          <t>목표점수·학습계획 모두 수학/한국사 외 과목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①개방성(파블로 피카소/다문화·글로벌 관련 직업, 융합형 디자이너 계열) ②예술적 감수성(레오나르도 다빈치/공공 디자이너·시각작가·건축가·작곡가) ③신중성(제갈공명/신중함이 필요한 전문직·관리직 계열) — 일부 필체 판독 어려움
핵심 강점 '신중성' 선택, 강화 방안: 깊이 생각하는 능력 기르기
MIT 전공흥미검사: 1순위 약학(추천 약학 / 약사·약학연구원·제약회사 관련 직무 / 약학과·제약학과·간호학과), 2순위 수학·물리(추천 바이오·화학 / 생명과학연구원·화학연구원 / 생명공학과·화학과·환경공학과), 3순위 음악(추천 천문·지구 / 천문·기상학연구원·지구환경연구원 / 천문학과·우주과학과·지질환경과학과)
희망전공-추천전공 일치 여부 서술: 미기재
선호 직무유형: 연구자형 / 중요 직업가치 1~3순위: 경제적 풍족 &gt; 안정성 &gt; 창의성</t>
        </is>
      </c>
      <c r="E8" s="5" t="inlineStr">
        <is>
          <t>강점검사·전공흥미검사가 모두 '약학·화학·연구' 계열로 수렴함</t>
        </is>
      </c>
      <c r="F8" s="5" t="inlineStr">
        <is>
          <t>희망전공-추천전공 일치 여부 서술 미기재</t>
        </is>
      </c>
    </row>
    <row r="9" ht="110" customHeight="1">
      <c r="A9" s="4" t="inlineStr">
        <is>
          <t>1-5</t>
        </is>
      </c>
      <c r="B9" s="5" t="inlineStr">
        <is>
          <t>최고 관심 직업 선정하기</t>
        </is>
      </c>
      <c r="C9" s="5" t="inlineStr">
        <is>
          <t>4~5차시 활동을 종합해 관심 직업 4개(약사·천문/기상학연구원·화학연구원·약학연구원) 정보 정리 후 토너먼트로 최종 관심직업 선정</t>
        </is>
      </c>
      <c r="D9" s="5" t="inlineStr">
        <is>
          <t>약사: 의약품 조제·투약, 약국 관리 등 약과 관련된 업무 담당 / 약학과·제약공학과
천문·기상학연구원: 우주·자연현상을 탐구하고 관측 자료를 분석·예측 / 지구과학과·천문학과·대기과학과
화학연구원: 물질의 구성·성질을 탐구해 새로운 물질·특허를 개발 / 화학과·화학공학과·생명과학과
약학연구원: 새로운 약을 개발하거나 기존 약의 효능을 개선해 시장에 낼 수 있도록 연구 / 약학과·제약학과
토너먼트 최종 선택: 약학연구원 (선택 이유: 약에 대한 연구를 해보고 싶어졌음 / 약사 포기 이유: 조제·투약보다 연구 쪽에 관심이 더 많음)
2단계 선택이유: 약사-안정된 직업이기 때문에 선택 / 약학연구원-조금 더 직접 겪어보고 싶어서</t>
        </is>
      </c>
      <c r="E9" s="5" t="inlineStr">
        <is>
          <t>1차 관심 직업으로 '약학연구원'이 최종 확정되며, 단순 안정성보다 연구 분야 관심을 우선시함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약학연구원
본인 예측: 대체될 것 같은 일-약 제조, 문서 작성 / 협업할 것 같은 일-개량·신약 개발 / 절대 대체 불가-윤리적 판단, 직관적인 개발(강점으로 동그라미)
AI 실습 결과: 대체가능-신약 후보물질 탐색, 실험 데이터 분석, 문서 작성·정보 검색 / 협업-신약 개발 전략 수립, 임상시험 설계, 맞춤형 의약품 연구 / 절대 불가-연구 주제 선정, 창의적 아이디어 제안, 윤리적 판단·사회적 책임, 이해관계자 협업·의사소통
예측 비교: 'AI 예측과 내 예측이 비슷했다'에 체크, 달랐던 점: 'AI가 생각보다 처리 능력이 세밀했다'
나만의 강점: 윤리적 판단
미래 명함 슬로건: 'AI가 [탐색]하는 동안, 나는 [판단]한다'
모둠토론(김민정-영화배우, 본인-약학연구원, 전솔이-성악가): 본인 항목에 '윤리적 판단, 사회적 책임' 기재
모둠 공통결론: 'AI가 절대 못하는 건 윤리적인 것과 자연스러운 대처와 감정 전달이다'</t>
        </is>
      </c>
      <c r="E10" s="5" t="inlineStr">
        <is>
          <t>-</t>
        </is>
      </c>
      <c r="F10" s="5" t="inlineStr">
        <is>
          <t>업그레이드 명함 칸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약학과 / 관심 대학: 가천대
학과 개요: 신약개발, 약 산업, 약제학, 독성학, 임상약학 등을 배우며 약의 합성부터 체내 작용까지 전 과정과 인체·약물에 대한 화학적 학습을 강조한다고 서술
적성·흥미 연결: 수학 문제를 풀 때 논리적으로 생각하는 것 → 약의 성분을 분석하고 문제를 해결하는 논리적 사고력으로 연결
고교 관련 과목: 수학(미적분Ⅰ·Ⅱ, 기하), 과학(물리, 화학, 생명)
대학 주요 교과목: 약물개론, 약품합성학, 약품생리학
취득 가능 자격증: 약사 / 졸업 후 진출분야: 약국, 종합병원, 제약회사, 의약품 인허가 연구소
지금부터 노력할 것: 수학·과학 성적을 관리하고 진로 활동에 참여, 관련 실습 경험 쌓기</t>
        </is>
      </c>
      <c r="E11" s="5" t="inlineStr">
        <is>
          <t>희망 진로(약학연구원)와 학과 탐색(약학과) 방향이 매우 구체적이고 일관됨(대학 주요 교과목까지 상세히 조사)</t>
        </is>
      </c>
      <c r="F11" s="5" t="inlineStr">
        <is>
          <t>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학생부교과70%+교과관련영역 서류종합평가30%)
학생부종합 'Do Dream'(9명, 1단계 서류100%→2단계 면접40%+1단계60%)
논술(5명, 일괄 학생부30%(교과20%+출결10%)+논술70%, 수능최저 적용)
정시 수능 나군(9명, 일괄 수능80%+학생부평가20%, 수능최저 미적용)</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스마트시스템공학과
학업역량: 1순위 C(이유: 전공 적합도를 비판적으로 분석하고 1·2·3학년 전공 이수를 가장 잘 살림), 2순위 A, 3순위 B
진로역량: 1순위 B(이유: 학업·동아리·대회를 진로와 연계해 이수함, 배움을 향한 자세를 일관되게 드러냄), 2순위 A, 3순위 C
공동체역량: 1순위 C(이유: 동아리 등에서 협업 경험을 쌓고, 다른 친구들과 공동체 문화를 함께 이끌어냄), 2순위 B, 3순위 A
예상결과: C-A-B / 실제결과: A-C-B (불일치)
느낀 점: 서울대 합격생들이 학생부를 위해 얼마나 많은 노력을 기울였는지 실감하고, 자신도 앞으로 어떤 내용을 채워야 할지 고민하게 된 유익한 시간이었다는 취지로 길게 서술함
배운 점: 다양한 활동과 그 활동에 대한 진지한 태도가 중요하며, 자신의 진로 관련 활동을 더 챙겨야겠다는 취지로 서술함</t>
        </is>
      </c>
      <c r="E13" s="5" t="inlineStr">
        <is>
          <t>모든 항목에 구체적인 근거를 서술했고, 느낀 점·배운 점도 성실하게 작성한 완성도 높은 사례</t>
        </is>
      </c>
      <c r="F13" s="5" t="inlineStr">
        <is>
          <t>-</t>
        </is>
      </c>
    </row>
    <row r="14" ht="252"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트랙 선택 이유: 진로가 확실히 정해져 있어서 관련 정보를 더 찾아보고 분석할 수 있는 것과, 관련 분야의 자료도 더 발표해보고 싶기에 주제탐구 트랙을 선택했다
탐구 유형: 체크 안 함
관심 분야: 약사, 약학연구원, 약학
그렇게 생각한 이유: 진로를 선택하는 과정에서 많이 찾아보다가 관심이 생겨 관련 자료를 찾아보면서 관심을 가지게 되었다
잠정 탐구 주제: 과학 산업의 발달이 약학에 미치는 변화
주제 선택 이유: 수업에서 과학기술의 발달에 관해 많이 접하다 보니 관련해 관심이 생겨 주제를 선택하게 되었다
8차시 계획: 2 방법 안내·계획서 → 3 자료수집 → 4 심화탐구 → 5 자료분석 → 6 발표자료 기획·제작(산출물: 발표자료) → 7 발표·피드백
한 줄 다짐: '8차시 동안'까지만 쓰고 멈춤</t>
        </is>
      </c>
      <c r="E14" s="5" t="inlineStr">
        <is>
          <t>'진로가 확실히 정해져 있다'고 스스로 밝힐 만큼 약학 진로가 뚜렷함. 1차시 잠정 주제(과학 발달과 약학의 변화)가 2차시에서 '약물의 체내 작용'으로 더 구체화됨</t>
        </is>
      </c>
      <c r="F14" s="5" t="inlineStr">
        <is>
          <t>탐구 유형 체크 누락, 한 줄 다짐 미완성</t>
        </is>
      </c>
    </row>
    <row r="15" ht="154"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미기재)
핵심 탐구 질문: 약물은 어떻게 원하는 곳에 도달하고 몸에 작용할까?
하위 질문① 약을 먹거나 투여했을 때 우리 몸에서 어떤 과정을 거쳐 필요한 곳까지 이동할까?
하위 질문② 약물은 우리 몸의 어떤 물질과 결합하여 약효를 나타낼까?
하위 질문③ 약물의 용량이나 농도에 따라 약효와 부작용이 달라지는 이유는 무엇일까?
활용할 자료원: FDA 의약품 개발 자료 (그 뒤 한 항목은 줄로 지움)</t>
        </is>
      </c>
      <c r="E15" s="5" t="inlineStr">
        <is>
          <t>1학기 희망 진로(약사·약학과)와 정확히 연결되는 주제로 진로 일관성이 뚜렷함. 하위 질문이 흡수·이동 → 결합 → 용량·부작용 순으로 논리적으로 구성됨</t>
        </is>
      </c>
      <c r="F15" s="5" t="inlineStr">
        <is>
          <t>활용할 자료원이 1개뿐(추가 자료원 보완 권장)</t>
        </is>
      </c>
    </row>
    <row r="16" ht="380"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5개 + 메모
· ① 식품의약품안전처 「의약품 안전 사용 정보」: 약은 종류에 따라 복용량과 사용 방법이 다르며, 정해진 용량을 지키는 것이 중요
· ② 대한약사회 「약 바로 알기」: 약은 몸에 들어온 뒤 필요한 부위에 작용해 증상을 완화함
· ③ 국가건강정보포털 「약물 복용과 건강」: 약은 몸속에서 흡수되고 혈액을 통해 이동한 뒤 분해되어 몸 밖으로 배출됨
· ④ 도서 『약이 되는 약 이야기』: 약은 질병 증상을 줄이거나 치료하기 위해 쓰이며, 성분에 따라 몸속에서 작용하는 방식이 달라짐
· ⑤ 서울아산병원 「약품정보」: 약물마다 작용 원리가 달라 어떤 약은 통증을, 어떤 약은 염증을 줄이는 등 다양한 방식으로 효과를 냄
· 메모: '약은 단순히 먹으면 바로 효과가 나타나는 것이 아니라 몸속에서 이동하고 특정한 곳에 작용한 뒤 효과를 나타낸다는 것을 알게 되었다. 이를 조사하면서 약이 우리 몸에 작용하는 과정이 궁금해졌다.'</t>
        </is>
      </c>
      <c r="E16" s="5" t="inlineStr">
        <is>
          <t>2차시에 자료원이 1개뿐이라 보완을 권했는데, 이번엔 식약처·약사회·병원·도서 등 5개로 크게 보완함. 하위 질문(흡수·이동 → 결합 → 용량·부작용) 순서에 맞게 자료를 모음. 약학 진로가 1학기부터 일관됨.</t>
        </is>
      </c>
      <c r="F16" s="5" t="inlineStr">
        <is>
          <t>없음</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10105 김태경)</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②
자기소개: MBTI ESTJ, 미국·일본 관련 언급 / 나머지 항목은 필체 판독이 어려워 원본 확인 필요
진로탐색 태도: '자신있게 말할 수 있다'·'열심히 노력한다'·'공부 필요성을 알고 노력한다'는 '그렇다', '가족과 구체적으로 이야기 나눈다'·'상담 경험이 있다'는 둘 다 '그렇지 않다'
상담 상대: 선배나 친구 / 진로결정 중요 기준: 학업 성적(다른 학생들과 달리 '소질과 적성'이 아닌 '학업 성적'을 선택)
정보탐색: 인터넷 검색 / 노력: 틈틈이 정보 수집 / 어려운 점: 진로 체험 기회 부족
가장 중요한 약속: '적극'(이유: 당당성이 중요해서)
새롭게 깨달은 점: '진로에 대해 관심을 많이 가져야겠다'
다짐 5글자: '고생하시기'로 판독됨(원본 확인 권장)</t>
        </is>
      </c>
      <c r="E5" s="5" t="inlineStr">
        <is>
          <t>진로결정 기준으로 '학업 성적'을 택한 점이 다른 학생들(소질·적성 중심)과 다름. 가족과의 대화·상담 경험이 모두 낮게 응답됨</t>
        </is>
      </c>
      <c r="F5" s="5" t="inlineStr">
        <is>
          <t>자기소개 문항 필체 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합산(비중 40~60%), 졸업 총 192학점
1학년 여름방학까지는 희망 진로(계열)를 정하는 것이 좋다고 기재
세특 핵심: 세부능력 및 특기사항, 학생 태도는 '적극 참여'
창체 영역: 자율활동/동아리활동/행동특성 및 종합의견 구분
2028수능 공통과목화, 정시에도 내신 반영 대학 증가까지는 기재했으나, '역전' 개념과 '스스로 찾아야 하는 ○○(주도성)' 두 문항은 공란으로 남김</t>
        </is>
      </c>
      <c r="E6" s="5" t="inlineStr">
        <is>
          <t>-</t>
        </is>
      </c>
      <c r="F6" s="5" t="inlineStr">
        <is>
          <t>'역전' 개념 문항, 주도성 관련 문항, 느낀점/다짐 서술 모두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 중간에 계산을 여러 번 다시 한 흔적이 있으나 최종 정답 도출
동점자 질문 답: 전원 2등급 / 세특·NEIS 질문 2개는 미기재
1차 정기고사 목표점수: 국어90·수학70·영어80·한국사90·통합사회90·통합과학85 — 전 과목 목표를 매우 높게 설정
4/8~4/20 학습 계획표: 한국사 과목 시대별 암기 계획(선사~조선시대 순서대로, 복습·정리·휴식까지 배치)을 매우 촘촘히 세움, 다른 과목(국어·수학·영어·통합사회·통합과학) 계획은 공란</t>
        </is>
      </c>
      <c r="E7" s="5" t="inlineStr">
        <is>
          <t>목표점수는 전 과목 균형있게 높게 설정했으나, 실제 학습계획은 한국사 한 과목에만 집중됨 — 목표와 계획 간 괴리가 있어 상담 시 참고할 만함</t>
        </is>
      </c>
      <c r="F7" s="5" t="inlineStr">
        <is>
          <t>3번 문항(세특·NEIS 질문) 미기재, 한국사 외 과목 학습계획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①도덕성(임마누엘 칸트/의약품인허가 전문가·교사) ②계획성(벤자민 프랭클린/데이터 전략가·행정가·마케터) ③호기심(알버트 아인슈타인/로봇공학자·과학자·기자·시장여론조사전문가)
핵심 강점 '도덕성' 선택, 강화 방안: 철학과 심리 관련 공부
MIT 전공흥미검사: 1순위 정치·국제(추천 정치·국제 / 정치학연구원·외교관·국회의원 / 정외과·정치외교학과), 2순위 법률·행정(추천 법률·행정 / 판검사·변호사 / 법학과·행정학과), 3순위 건축·토목(추천 경영·경제 / 경영·경제 관련직 / 경영학과·경제학과)
희망전공-추천전공 일치여부 서술: '건축·토목과 경영·경제 두 영역의 흥미도가 거의 같아서 서로 뒤바뀐 것 같다'고 스스로 분석함
선호 직무유형: 글로벌형 / 중요 직업가치 1~3순위: 안정성 &gt; 사회적 인정 &gt; 경제적 풍족</t>
        </is>
      </c>
      <c r="E8" s="5" t="inlineStr">
        <is>
          <t>강점·전공흥미검사 모두 '정치·법률·행정' 계열로 수렴하며, 3순위 불일치 이유를 스스로 분석해 서술함</t>
        </is>
      </c>
      <c r="F8" s="5" t="inlineStr">
        <is>
          <t>-</t>
        </is>
      </c>
    </row>
    <row r="9" ht="110" customHeight="1">
      <c r="A9" s="4" t="inlineStr">
        <is>
          <t>1-5</t>
        </is>
      </c>
      <c r="B9" s="5" t="inlineStr">
        <is>
          <t>최고 관심 직업 선정하기</t>
        </is>
      </c>
      <c r="C9" s="5" t="inlineStr">
        <is>
          <t>4~5차시 활동을 종합해 관심 직업 4개(정치학연구자·건축디자이너·건축공학자·국회의원 관련직) 정보 정리 후 토너먼트로 최종 관심직업 선정</t>
        </is>
      </c>
      <c r="D9" s="5" t="inlineStr">
        <is>
          <t>정치학연구자: 정치학의 원리와 제도를 탐구·연구 / 정치학과·정치외교학과
건축디자이너: 건축 계획 및 설계도면을 제공 / 건축학과·건축공학과
건축공학자: 건축물을 계획·구조설계 / 건축학과·건축공학과
(국회의원 관련직): 선거를 통해 국민을 대표해 법·조례 개정, 예산안 심의 등 담당 / 법학과·정외과·행정학과
토너먼트 최종 선택: 국회의원 (선택 이유: 내가 가장 전통적으로 생각해온 진로 / 건축가 포기 이유: 아직 잘 모르는 부분이 많아서)
2단계 선택이유: 국회의원-수리적 능력이 강함 / 건축가-전통 있고 경제적으로 풍족한 역할</t>
        </is>
      </c>
      <c r="E9" s="5" t="inlineStr">
        <is>
          <t>1차 관심 직업으로 '국회의원'이 최종 확정됨 — 1-4·1-7차시와 함께 정치·행정 계열로 매우 일관됨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국회의원
본인 예측: 대체될 것 같은 일-해당 없음(X) / 협업할 것 같은 일-건축가·국회의원 관련 업무 / 절대 대체 불가-철학자적 판단 영역
AI 실습 결과: 대체가능-기존 법률 검토·문서 작성, 방대한 자료 수집·피감기관 모니터링, 단순 반복 민원 처리 / 협업-여론 흐름·실시간 민심 파악, 맞춤형 정책·홍보 활동 / 절대 불가-사회 갈등의 조정과 타협을 위한 통찰, 시대정신을 담은 가치판단, 국민의 아픔에 공감·연대하는 것
예측 비교: 'AI 예측과 내 예측이 비슷했다'에 체크
나만의 강점: 시대정신을 담은 가치와 판단
미래 명함 슬로건: 예시 문구 위에 겹쳐 써서 판독이 어려우나, '국민의 목소리를 외면하지 않고 대응한다(정치인)'는 취지로 작성됨</t>
        </is>
      </c>
      <c r="E10" s="5" t="inlineStr">
        <is>
          <t>모둠토론(이름·직업·의견) 칸이 전부 공란 — 해당 시간에 모둠 활동에 참여하지 못했거나 기록을 누락한 것으로 보임</t>
        </is>
      </c>
      <c r="F10" s="5" t="inlineStr">
        <is>
          <t>모둠토론 및 모둠 공통결론 전체 미기재, 미래 명함 슬로건 필체 겹침으로 판독 어려움</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정치외교학과 / 관심 대학: 서울대학교
학과 개요·적성흥미 연결·다짐 등 서술형 항목은 필체가 겹쳐 쓰여 있어 정확한 문구 판독이 어려움 (정치·시사 이슈에 대한 관심, 정치 토론을 좋아한다는 취지로 보임)
고교 관련 과목: 사회, 정치, 문화 관련 과목(정확한 과목명은 원본 확인 필요)
졸업 후 진출분야: 정치인, 방송 관련 분야</t>
        </is>
      </c>
      <c r="E11" s="5" t="inlineStr">
        <is>
          <t>이 학생의 활동지 중 필체가 가장 겹쳐 쓰여 있어 판독이 어려운 페이지 — 원본 확인을 권장함</t>
        </is>
      </c>
      <c r="F11" s="5" t="inlineStr">
        <is>
          <t>적성·흥미 연결, 대학 주요 교과목, 취득 가능 자격증, 학과 전망, 다짐 항목 다수가 판독 어려움 또는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학생부교과70%+서류종합평가30%)
학생부종합 'Do Dream'(9명, 서류종합100%→2단계 면접40%+1단계60%)
논술(5명, 학생부30%+논술70%, 수능최저 일부 적용 표시)
정시 수능 나군(9명, 수능90%+학생부20%로 기재 — 합이 100%를 넘어 원본 확인 필요)
반영교과 및 반영방법: 국·영·수·사·과 중 석차등급이 좋은 상위 10개 과목을 3학년 1학기까지 반영한다고 기재함
전형 적합도 대비 준비도 별점을 학생부교과·학생부종합·논술·실기실적·정시 5개 항목 모두에 실제로 칠해 자기평가함</t>
        </is>
      </c>
      <c r="E12" s="5" t="inlineStr">
        <is>
          <t>지금까지 정리한 학생들 중 유일하게 반영교과 표와 준비도 자가진단(별점)까지 실제로 작성함 — 학습 태도가 꼼꼼한 편으로 보임</t>
        </is>
      </c>
      <c r="F12" s="5" t="inlineStr">
        <is>
          <t>2단계 '도전 대입 전형' 체크 및 선택 이유는 미기재</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노어노문학과(추정)
학업역량: 1순위 B(이유: 성적 등급이 B가 훨씬 높아서), 2순위 A, 3순위 C
진로역량: 이유 '의지와 비판적 사고력이 높음'이 기재되었으나 순위 표기가 다소 불명확
공동체역량: 1순위 A(이유: 활동을 많이 함), 2순위 B(구체적인 활동), 3순위 C
예상결과: B-A-C / 실제결과: B-A-C (일치)
느낀 점·배운 점: 미기재</t>
        </is>
      </c>
      <c r="E13" s="5" t="inlineStr">
        <is>
          <t>예상과 실제 결과가 일치함</t>
        </is>
      </c>
      <c r="F13" s="5" t="inlineStr">
        <is>
          <t>진로역량 순위 표기 불명확, 느낀 점·배운 점 미기재</t>
        </is>
      </c>
    </row>
    <row r="14" ht="224"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(여백에 'Check' 메모)
트랙 선택 이유(인쇄된 예시 위에 겹쳐 써서 판독 어려움): 중학교 사회 시간에 정치인들의 역할을 배우고 … 국회의사당 등을 바탕으로 탐구해 보고 싶어서(추정)
탐구 유형: 체크 안 함
관심 분야: 국회의원, 국무위원, 정치인
그렇게 생각한 이유(겹쳐 씀): 선거를 계기로 정치에 대해 흥미를 느끼며 진로를 이쪽으로 정함(추정)
잠정 탐구 주제(겹쳐 씀): 국회의사당이 여의도에 지어진 이유(추정)
주제 선택 이유(겹쳐 씀): 여의도에 국회의사당이 있는 것은 알았는데 왜 거기에 지었는지 최근 궁금해져서(추정)
8차시 계획: 공란
한 줄 다짐: 성실히 포트폴리오 제작에 임하여 진로에 적극 참여를 하겠다(추정) / 자가 점검 2개 체크</t>
        </is>
      </c>
      <c r="E14" s="5" t="inlineStr">
        <is>
          <t>정치 분야 진로(국회의원·정치인)가 일관됨. 1차시 잠정 주제(국회의사당 위치)가 2차시에서 '북한의 미사일 도발'로 바뀜 → 주제 변경 이유를 확인해 볼 만함. 여백에 로켓(미사일) 모양 낙서가 있음</t>
        </is>
      </c>
      <c r="F14" s="5" t="inlineStr">
        <is>
          <t>손글씨를 인쇄된 예시 문구 위에 겹쳐 써서 대부분 '추정' 판독(원본 확인 권장), 8차시 계획 미기재</t>
        </is>
      </c>
    </row>
    <row r="15" ht="120"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미기재)
핵심 탐구 질문: 북한은 왜 요즘 미사일, 언행 등과 같은 협박·도발을 자주 할까?
하위 질문①~③: 모두 미기재
활용할 자료원: 미기재</t>
        </is>
      </c>
      <c r="E15" s="5" t="inlineStr">
        <is>
          <t>1학기 희망 진로(정치학연구자·정치외교학과)와 연결되는 시사 주제를 선택함. 다만 핵심 질문만 작성하고 나머지 칸을 모두 비워 두어 후속 지도 필요</t>
        </is>
      </c>
      <c r="F15" s="5" t="inlineStr">
        <is>
          <t>하위 질문①②③, 활용할 자료원 모두 미기재</t>
        </is>
      </c>
    </row>
    <row r="16" ht="351" customHeight="1">
      <c r="A16" s="4" t="inlineStr">
        <is>
          <t>P-2(수정)</t>
        </is>
      </c>
      <c r="B16" s="5" t="inlineStr">
        <is>
          <t>[개별프로젝트 2차시·주제탐구] 탐구계획서 수정본(3차시 묶음으로 제출)</t>
        </is>
      </c>
      <c r="C16" s="5" t="inlineStr">
        <is>
          <t>탐구 질문을 구체화하고 핵심 탐구 질문 1개·하위 질문 3개·활용할 자료원을 계획</t>
        </is>
      </c>
      <c r="D16" s="5" t="inlineStr">
        <is>
          <t>[주제탐구] 3차시 '자료 수집' 활동지 대신 2차시 탐구계획서를 다시 써서 제출함(활동지 상단 날짜 2026.09.21)
· 처음 핵심 질문 '북한은 왜 요즘 미사일 등 도발을 자주 할까'를 줄 그어 지움
· 새 핵심 탐구 질문: 정치적 가짜뉴스는 정치적 판단에 어떤 영향을 미칠까?
· 하위 질문 ①: (정치적) 가짜뉴스는 주로 어떤 방식으로 확산되는가?
· 하위 질문 ②: 정치적 가짜뉴스가 개인의 확증 편향에 영향을 끼칠 수 있는가?
· 하위 질문 ③: (정치적) 가짜뉴스로부터의 영향을 줄이기 위해 어떤 노력이 필요한가?
· 활용할 자료원: 방송통신위원회, 한국언론진흥재단, 국회입법조사처</t>
        </is>
      </c>
      <c r="E16" s="5" t="inlineStr">
        <is>
          <t>2차시에 핵심 질문만 쓰고 비워 두었던 계획서를 주제까지 바꿔(북한 미사일 → 정치적 가짜뉴스) 하위 질문·자료원을 모두 채워 다시 냄. 정치외교 진로와 이어지며 계획서 완성도가 크게 좋아짐. 3차시 자료 수집 활동지는 아직 제출하지 않음.</t>
        </is>
      </c>
      <c r="F16" s="5" t="inlineStr">
        <is>
          <t>3차시 자료 수집 활동지 미제출 / 주제 변경 이유 확인 필요</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10106 김태영)</t>
        </is>
      </c>
    </row>
    <row r="2">
      <c r="A2" s="2" t="inlineStr">
        <is>
          <t>※ 2학기 개별프로젝트 활동지부터 기록 시작(1학기 활동지 스캔본 없음). 이름은 필체상 '김태영'으로 판독했으나 원본 확인 필요. 판독이 어렵거나 미기재한 항목은 '판독 어려움/미기재'로 표기함. P-3 활동지 묶음에도 이 학생의 활동지가 없었음(결석·미제출 확인 필요).</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238" customHeight="1">
      <c r="A5" s="4" t="inlineStr">
        <is>
          <t>P-1</t>
        </is>
      </c>
      <c r="B5" s="5" t="inlineStr">
        <is>
          <t>[개별프로젝트 1차시] 3종 트랙 탐색·선택 및 8차시 개인 계획서</t>
        </is>
      </c>
      <c r="C5" s="5" t="inlineStr">
        <is>
          <t>주제탐구·진로독서·습관형성 3개 트랙의 특징을 비교해 1개를 선택하고, 선택 트랙의 초기 아이디어(관심 분야·잠정 주제·선택 이유)를 구상</t>
        </is>
      </c>
      <c r="D5" s="5" t="inlineStr">
        <is>
          <t>※ 이번 제출분은 2차시 계획서가 아닌 1차시 활동지임
학번 기재: '1학년 1반 6번'(6번은 빨간 글씨)
선택 트랙: 주제탐구
트랙 선택 이유: 단순히 알고 있는 것에서 그치지 않고 자료를 찾아보며 스스로 알아가는 경험을 해보고 싶어서
탐구 유형: ② 관심사 탐구형
관심 있는 진로·분야 3가지: 동물, 군인, 생명과학
그렇게 생각한 이유: 어릴 때부터 군인과 반려동물에 대해 관심이 생겨서 검색을 많이 해 보았다
잠정 탐구 주제: 동물복지의 필요성과 우리나라의 동물복지 현황 살펴보기
이 주제를 선택한 이유: 평소 동물과 군인에 대해서 관심이 많았는데 군견과 군인이 함께 활동한다는 것을 알고, 나의 관심 분야와도 관련이 있어 탐구력을 보여줄 수 있다고 생각함</t>
        </is>
      </c>
      <c r="E5" s="5" t="inlineStr">
        <is>
          <t>동물·군인이라는 두 관심사를 '군견'이라는 접점으로 연결해 주제를 찾은 점이 인상적임. 1학기 활동 기록이 없는 학생이라 이번이 첫 기록</t>
        </is>
      </c>
      <c r="F5" s="5" t="inlineStr">
        <is>
          <t>이름 판독 확인 필요('김태영'으로 읽었으나 '김채영' 등일 수 있음), 2차시 탐구계획서 미제출
※ 9/26 받은 1차시 스캔본에도 10106 활동지가 한 부 더 있었으나 이름·트랙(주제탐구) 체크 외에는 전부 공란 — 위 내용은 먼저 받은 작성본 기준</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10107 나현수)</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미기재
자기소개: A형, ISFJ(거짓 표시), 강아지를 키움(참) / 두 번째 문항은 필체 판독 어려움(원본 확인 필요)
진로탐색 태도: '자신있게 말할 수 있다'·'열심히 노력한다'·'공부 필요성을 알고 노력한다'는 '그렇다', '가족과 구체적으로 이야기 나눈다'는 '그렇지 않다', 상담 경험은 '보통이다'
상담 상대: 교사, 선배나 친구(복수 응답) / 진로결정 중요 기준: 나의 소질과 적성, 학업 성적(복수 응답)
정보탐색: 인터넷 검색, 유튜브 시청(복수 응답) / 노력: 흥미와 적성을 찾기 위한 비교과 활동 참여
어려운 점: 진로 관련 정보 탐색이 어려워서
가장 중요한 약속: '연결'(이유: 꿈은 결국 내가 꿈꾸는 것이기 때문에 항상 나의 미래와 연결해야 한다고 생각해서)
새롭게 깨달은 점: '진로를 찾는 방법이 많다'
다짐 5글자: '꿈을 펼치자' (또렷하게 기재됨)</t>
        </is>
      </c>
      <c r="E5" s="5" t="inlineStr">
        <is>
          <t>여러 문항에서 두 개 이상 복수 응답을 하는 경향이 있음(상담 상대, 진로결정 기준, 정보탐색 방법 모두 중복 체크)</t>
        </is>
      </c>
      <c r="F5" s="5" t="inlineStr">
        <is>
          <t>진진가 퀴즈 정답과 자기소개 2번 문항 미기재/판독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지필+수행평가 합산(비중 40~60%), 졸업 총 192학점, 1학년 여름방학까지 희망 계열 정하기 권장
세특 핵심: 세부능력 및 특기사항, 학생 태도는 '수업에 적극 참여, 학업 역량'
창체 영역: 자율활동/동아리활동까지는 기재, 담임 추천서 형식 항목(행동특성 및 종합의견)은 공란
2028수능 공통과목화, 정시에도 내신·생기부 반영 대학 증가, '역전' 개념까지 기재하고 '스스로 찾아야 하는 (주도성)'까지 정확히 채움</t>
        </is>
      </c>
      <c r="E6" s="5" t="inlineStr">
        <is>
          <t>-</t>
        </is>
      </c>
      <c r="F6" s="5" t="inlineStr">
        <is>
          <t>창체 3번째 항목(행동특성 및 종합의견) 및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동점자 질문 답: 전원 2등급 / 대학이 깊게 보는 항목: 세특 / NEIS 질문 답: 2학년 진학 후
1차 정기고사 목표점수: 국어·수학·영어·한국사·통합과학 80점, 통합사회 90점 — 전 과목 균형있게 높게 설정
4/8~4/20 학습 계획표: 한국사 과목 시대별 암기 계획을 매우 상세히 세웠고, 통합사회에도 일부 계획(1단원 복습, 기출 풀이, 사상가 정리)을 배치함, 국어·수학·영어는 계획 없음</t>
        </is>
      </c>
      <c r="E7" s="5" t="inlineStr">
        <is>
          <t>동점자·세특·NEIS 질문에 모두 정확히 답한 몇 안 되는 학생. 한국사 외 통합사회에도 일부 계획을 배치한 점이 특이함</t>
        </is>
      </c>
      <c r="F7" s="5" t="inlineStr">
        <is>
          <t>국어·수학·영어 학습계획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①감사(소크라테스/산림치유지도사·명상지도자) ②이타심(이태석/노년플래너·간호사·성직자·특수교사) ③공감(마더 테레사/동물매개 심리치료사·상담전문가)
핵심 강점 칸에는 목록의 3개 강점이 아닌 '창의성'을 자유롭게 적음, 강화 방안: '생각을 해라'
MIT 전공흥미검사: 1순위 유아·특수교육(추천 유아·특수교육 / 유치원교사·특수교육교사·보육교사 / 유아교육학과·특수교육학과), 2순위 초·중등교육(추천 복지·상담 / 사회복지사·청소년상담사 / 아동복지학과·사회복지학과), 3순위 간호·보건(추천 초·중등교육 / 초등교사·중고교사 / 교육학과·초등교육과)
희망전공-추천전공 일치여부 서술: '일치하지는 않지만 대체로 비슷하다'
선호 직무유형: 돌봄형 / 중요 직업가치 1~3순위: 사회봉사 &gt; 창의성 &gt; 사회적 인정</t>
        </is>
      </c>
      <c r="E8" s="5" t="inlineStr">
        <is>
          <t>강점검사·전공흥미검사가 모두 '돌봄·교육' 계열로 수렴함. 핵심 강점을 검사 결과가 아닌 스스로 선택해 작성한 점이 눈에 띔</t>
        </is>
      </c>
      <c r="F8" s="5" t="inlineStr">
        <is>
          <t>-</t>
        </is>
      </c>
    </row>
    <row r="9" ht="110" customHeight="1">
      <c r="A9" s="4" t="inlineStr">
        <is>
          <t>1-5</t>
        </is>
      </c>
      <c r="B9" s="5" t="inlineStr">
        <is>
          <t>최고 관심 직업 선정하기</t>
        </is>
      </c>
      <c r="C9" s="5" t="inlineStr">
        <is>
          <t>4~5차시 활동을 종합해 관심 직업 4개(유치원교사·특수교사·초등교사·운동치료사) 정보 정리 후 토너먼트로 최종 관심직업 선정</t>
        </is>
      </c>
      <c r="D9" s="5" t="inlineStr">
        <is>
          <t>유치원교사: 초등학교 입학 전 아동에게 맞는 교육환경과 기본 생활습관을 지도 / 유아교육과·아동학과
특수교사: 장애가 있어 특수한 교육이 필요한 학생을 가르침 / 특수교육학과
초등교사: 초등학생에게 전과목을 가르치고 바른 인성·품행을 지도 / 초등교육과
운동치료사: 운동으로 사람의 마음을 건강하고 즐겁게 만들어주는 직업 / 재활학과·심리학과·사회복지학과
토너먼트 최종 선택: 유치원교사 (선택 이유: 예전부터 꿈꿔왔고, 소득은 높지 않지만 아이들을 사랑하는 마음으로 밝게 크는 모습을 볼 때 행복할 것 같아서 / 초등교사 포기 이유: 최근 초등교사 관련 사건·민원 이슈를 감당하기 어려울 것 같다고 서술)
2단계 선택이유: 유치원교사-운동치료사보다 상대적으로 안정적이고 평소 유아교육에 관심·흥미가 있음</t>
        </is>
      </c>
      <c r="E9" s="5" t="inlineStr">
        <is>
          <t>1차 관심 직업으로 '유치원교사'가 최종 확정됨. 초등교사를 포기한 이유로 최근 교권 관련 사회 이슈를 언급한 점이 눈에 띄어, 진로상담 시 관련 고민을 들어보면 좋을 것 같음</t>
        </is>
      </c>
      <c r="F9" s="5" t="inlineStr">
        <is>
          <t>특수교사 관련 2단계 선택이유 문구 일부 판독 어려움</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유치원 교사
본인 예측: 대체될 것 같은 일-간단한 계산·계획·자료 제작 / 협업할 것 같은 일-아이들을 관찰하는 일 / 절대 대체 불가-아이들을 마음으로 대하는 일, 돌발상황 대처 능력(강점으로 동그라미)
AI 실습 결과: 대체가능-서류·행정 업무 자동화, 수업 자료·콘텐츠 제작, 출결·연락 관리 / 협업-맞춤형 발달 상태 분석, 다각적 정서 보조 교육, 초기 심리·발달 상담 자원 / 절대 불가-실시간 정서 교감과 애착 형성, 사회성·도덕성 기르기, 돌발상황 대처 및 안전 책임
예측 비교: 'AI 예측과 내 예측이 비슷했다'에 체크, 달랐던 점: '다각적 정서 보조 교육은 생각하지 못했다'
미래 명함 슬로건: 'AI가 [분석]하는 동안, 나는 [판단]한다'
모둠토론(임성미-체육교사, 박서연-영어교사, 권준호-직업 판독 어려움, 본인-유치원교사): 본인 항목에 '아이들을 마음으로 대하는 일' 기재
모둠 공통결론: 'AI가 절대 못하는 건 학생의 감정을 진심으로 공감하고, 학생과 인간적인 신뢰관계를 형성하는 것이다'</t>
        </is>
      </c>
      <c r="E10" s="5" t="inlineStr">
        <is>
          <t>-</t>
        </is>
      </c>
      <c r="F10" s="5" t="inlineStr">
        <is>
          <t>'나만의 강점' 칸 필체 판독 어려움</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유아교육과 / 관심 대학: 한국교원대학교
학과 개요: 유아 교육의 이론과 현안에 대한 연구를 통해 전문성을 쌓고, 질 높은 유아 교육을 실천할 창의적 인재를 양성하는 학과라고 서술
적성·흥미 연결: 배려심이 많고 남을 잘 챙김 → 아이들의 세심한 모습을 기억하고 잘 챙기는 이해 능력으로 연결
고교 관련 과목: 국어, 영어, 교육학, 음악, 미술, 정보, 보건
취득 가능 자격증: 유치원 1·2급 정교사, 사회복지사, 놀이치료사, 보육교사
졸업 후 진출분야: 국·공·사립 유치원 및 어린이집, 장애아 보육 민간 어린이집, 아동심리치료소
지금부터 노력할 것: 내신 관리(구체 목표 등급 기재), 진로 관련 독서, 봉사활동</t>
        </is>
      </c>
      <c r="E11" s="5" t="inlineStr">
        <is>
          <t>희망 진로(유치원교사)와 학과 탐색(유아교육과) 방향이 매우 구체적이고 일관됨(취득자격증·진출분야까지 상세히 조사)</t>
        </is>
      </c>
      <c r="F11" s="5" t="inlineStr">
        <is>
          <t>대학 주요 교과목, 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학생부교과70%+교과관련영역 서류종합평가30%)
학생부종합 'Do Dream'(9명, 1단계 서류100%→2단계 면접40%+1단계60%)
논술(5명, 학생부30%(교과20%+출결10%)+논술70%, 수능최저 적용)
정시 수능 나군(9명, 수능80%+학생부평가20%, 수능최저 미적용)
반영교과: 학생부교과·논술 전형 모두 국어·영어·수학·사회·과학 전 교과 반영으로 기재</t>
        </is>
      </c>
      <c r="E12" s="5" t="inlineStr">
        <is>
          <t>반영교과 칸까지 채운 몇 안 되는 학생 중 하나임</t>
        </is>
      </c>
      <c r="F12" s="5" t="inlineStr">
        <is>
          <t>전형 적합도 별점(step1), 도전 전형 선택 및 이유(step2)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사범대학 교육학과
학업역량: 1순위 A(이유: 5과목 평균이 A&gt;B&gt;C 순이고, A는 수업 참여 태도도 가장 좋았음), 2순위 B, 3순위 C
진로역량: 1순위 B(이유: 모의수업), 2순위 A, 3순위 C
공동체역량: 1순위 A(시간 부족으로 이유를 자세히 적지 못함), 2순위 B, 3순위 C
예상결과: B-A-C / 실제결과: A-B-C (불일치)
느낀 점: '보는 눈은 거의 다 비슷하다' / 배운 점: '종합평가 하는 법'</t>
        </is>
      </c>
      <c r="E13" s="5" t="inlineStr">
        <is>
          <t>패드로 활동지를 작성하며 시간이 부족해 공동체역량 이유를 자세히 적지 못했다고 스스로 언급함</t>
        </is>
      </c>
      <c r="F13" s="5" t="inlineStr">
        <is>
          <t>공동체역량 이유가 간략함</t>
        </is>
      </c>
    </row>
    <row r="14" ht="266"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(with 박주빈 10111)
트랙 선택 이유: 평소 교육 쪽 진로에 관심이 많아 진로가 비슷한 친구와 관련된 것들을 직접 조사해보고 발표하고 싶어서
관심 분야: 교육, 심리, 철학
그렇게 생각한 이유: 유아와 초등학생의 교육에 관심이 있으며, 아이들이 성장하는 과정에서 교사의 역할이 중요하다고 생각함
잠정 탐구 주제: 칭찬은 항상 좋은 교육일까? (칭찬이 미치는 영향)
주제 선택 이유: 온라인공동교육과정 수업을 들으며 '좋은 교육이란 무엇인가'라는 질문에 '칭찬'이라고 답을 했고, 그 이후 호기심이 들어 이 주제에 대해 더 탐구해보고 싶었기 때문
8차시 계획: 2 탐구 자료 수집 → 3 분석 → 4 정리 → 5~6 PPT 작성 및 대본 작성 → 7 모의 발표
한 줄 다짐: 8차시 동안 서로 협력하여 프로젝트를 완성하겠다 / 자가 점검 3개 모두 체크</t>
        </is>
      </c>
      <c r="E14" s="5" t="inlineStr">
        <is>
          <t>온라인공동교육과정 수업 경험에서 탐구 질문을 끌어낸 점이 인상적임. 짝 박주빈과 같은 주제로 1차시부터 공동 설계</t>
        </is>
      </c>
      <c r="F14" s="5" t="inlineStr">
        <is>
          <t>탐구 유형 체크 누락</t>
        </is>
      </c>
    </row>
    <row r="15" ht="182"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박주빈 10111)
핵심 탐구 질문: 칭찬은 아이들에게 항상 좋은 영향을 미칠까?
하위 질문① 칭찬은 어떻게 하면 좋을까? (옆에 '3번'으로 순서 변경 표시)
하위 질문② 결과를 칭찬하는 것과 과정을 칭찬하는 것은 어떤 차이를 만들까? ('1번' 표시)
하위 질문③ 과하거나 잘못된 칭찬이 아이에게 어떤 부정적인 영향을 미칠까? ('2번' 표시, 일부 문구 수정 흔적)
활용할 자료원: 논문, 인터넷, 제미나이, 클로드, 챗GPT, 마누스 AI, 그록</t>
        </is>
      </c>
      <c r="E15" s="5" t="inlineStr">
        <is>
          <t>1학기 희망 진로(유아교육과)와 연결되는 아동 교육 주제. 짝 박주빈(10111)과 같은 주제·질문이며, 하위 질문 순서를 짝의 활동지와 맞추어 재정렬함. 자료원이 AI 도구 위주로 나열되어 있어 논문·기관 자료 등 신뢰할 수 있는 1차 자료 활용 지도 권장</t>
        </is>
      </c>
      <c r="F15" s="5" t="inlineStr">
        <is>
          <t>-</t>
        </is>
      </c>
    </row>
    <row r="16" ht="158"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1개(제목만)
· ② 동아사이언스: 요약 칸에 칼럼 제목 〈약이 되는 칭찬, 독이 되는 칭찬〉만 적음
· 자료 ①·③~⑤, 모든 핵심 내용 요약, 나의 생각/메모는 비어 있음</t>
        </is>
      </c>
      <c r="E16" s="5" t="inlineStr">
        <is>
          <t>짝 박주빈과 같은 칼럼을 찾았으나 내용 요약은 하지 않음. 2차시에는 공동 주제로 탐구계획서를 잘 세웠던 학생이라, 자료를 읽고 요약하는 단계에서 막힌 것인지 확인 필요.</t>
        </is>
      </c>
      <c r="F16" s="5" t="inlineStr">
        <is>
          <t>자료 ①·③~⑤, 핵심 내용 요약 전부, 나의 생각/메모 미기재</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10108 문시우)</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선생님께 전하는 말: '아직 진로가 정해지지 않아서 무엇을 해야 할지 고민이라서, 기회가 된다면 많이 여쭤보겠습니다. 잘 부탁드립니다.'
자기소개: B형, 응원 대회 경험, 오빠 있음(사실 문항) / 떡을 제일 안 좋아함, 역사를 좋아함(사실 문항)
진로탐색 태도: '자신있게 말할 수 있다'는 '매우 그렇지 않다'(최저), '열심히 노력한다'는 '그렇지 않다', 상담 경험도 '매우 그렇지 않다'로 응답 — 진로 관련 자신감·경험이 전반적으로 낮음
상담 상대: 부모나 친척 / 진로결정 중요 기준: 나의 소질과 적성, 학업 성적(복수 응답)
정보탐색: 인터넷 검색, 부모님 말씀(복수 응답)
노력: 기타 응답 — '노력하지 않았다'고 직접 기재
어려운 점: 나의 특성(흥미·적성·가치관·성격 등)에 대해 몰라서
자유 서술(하고 싶은 진로 활동): 'X 없습니다'
가장 중요한 약속: '연결'(이유: 다른 과목과 달리 진로수업에서 자신의 진로를 생각해보고 여러 가지를 찾아볼 수 있을 것 같아서, 진로를 못 정했으면 나의 미래와 연결하는 것이 중요하다고 느꼈다)
새롭게 깨달은 점: '학교에 대해 알게 되면 진로가 뭘 하는지 알게 된다'
다짐 5글자: '열심히 하자'</t>
        </is>
      </c>
      <c r="E5" s="5" t="inlineStr">
        <is>
          <t>진로 자신감·상담 경험 문항에서 가장 낮은 응답('매우 그렇지 않다')이 여러 개 나타나고, '노력하지 않았다'고 스스로 밝히는 등 진로에 대한 막막함과 낮은 자신감이 이 활동지에서부터 뚜렷하게 드러남. 다만 '연결' 약속 이유와 다짐은 의지를 담아 성실히 작성함 — 개별 면담으로 관심사를 함께 찾아주면 좋을 학생으로 보임</t>
        </is>
      </c>
      <c r="F5" s="5" t="inlineStr">
        <is>
          <t>-</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지필+수행평가 합산(비중 40~60%), 졸업 총 192학점, 2학년 때부터 (진로)에 맞게 과목 선택, 1학년 여름방학 전까지 희망 계열 정하기 권장
세특 핵심: 세부능력 및 특기사항, 학생 태도는 '수업에 적극적으로 참여'
창체 영역: 자율(자치)활동/동아리활동/행동특성 및 종합의견까지 모두 정확히 기재
2028수능 공통과목화, 정시에도 내신 반영 대학 증가, '역전'·'주도성' 개념까지 전부 정확히 기재</t>
        </is>
      </c>
      <c r="E6" s="5" t="inlineStr">
        <is>
          <t>이 차시 빈칸학습은 거의 완벽하게 채워짐 — 1-1차시의 낮은 자신감과 달리 학습 내용 자체는 잘 따라가고 있음을 보여줌</t>
        </is>
      </c>
      <c r="F6" s="5" t="inlineStr">
        <is>
          <t>느낀점/다짐 서술형 문항만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3번 문항(동점자·세특·NEIS 질문)은 모두 공란
1차 정기고사 목표점수: 국어80·수학80·영어80·한국사65·통합사회70·통합과학70
4/8~4/20 학습 계획표: 날짜별 계획 칸은 전부 공란이며, 상단 여백에 과목별 목표점수로 보이는 숫자만 빨간 글씨로 적혀 있고 시험 기간에는 학습계획 대신 하트 등 낙서만 그려져 있음</t>
        </is>
      </c>
      <c r="E7" s="5" t="inlineStr">
        <is>
          <t>구체적인 학습 계획을 전혀 세우지 않은 유일한 사례 — 학습 동기·계획 수립에 어려움을 겪고 있을 가능성이 있어 학습법 지도가 필요해 보임</t>
        </is>
      </c>
      <c r="F7" s="5" t="inlineStr">
        <is>
          <t>3번 문항 및 4/8~4/20 학습계획표 전체가 공란</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①원만성(넬슨 만델라/국제통상전문가·외교관·인사전문가) ②도덕성(임마누엘 칸트/의약품인허가 전문가·초중고 교사·판사) ③공감(마더 테레사/동물매개 심리치료사·상담전문가)
핵심 강점 '원만성' 선택, 강화 방안: '나와 다른 의견도 있을 수 있음을 인정하고 존중하기'
MIT 전공흥미검사: 1순위 희망전공 법률·행정(추천 주거(인테리어)·의류 / 실내·의상 디자이너 / 실내디자인학과·의류학과), 2순위 수학·물리(추천 미술·디자인 / 제품디자이너·모바가구디자이너·웹디자이너 / 공예학과·미디어학과), 3순위 초·중등교육(추천 복지·상담 / 사회복지사·청소년지도사·심리상담전문가 / 사회복지학과·아동학과)
희망전공-추천전공 일치 여부 서술: '일치하지 않는다!! 희망하는 전공이 정확하게 없기 때문에 현재 재미를 느끼는 부분에서 못 찾아서 추천전공에 취미활동으로 좋아하는 대부분이 나온 것 같다'고 스스로 원인을 분석함
선호 직무유형: 돌봄형 / 중요 직업가치 1~3순위: 경제적 풍족 &gt; 안정성 &gt; 창의성</t>
        </is>
      </c>
      <c r="E8" s="5" t="inlineStr">
        <is>
          <t>희망전공(법률·행정)과 검사 추천전공(주거·의류 등)이 전혀 다른 방향으로 나온 유일한 사례. 본인이 '희망 전공이 정확히 없다'고 솔직하게 서술한 점이 눈에 띔</t>
        </is>
      </c>
      <c r="F8" s="5" t="inlineStr">
        <is>
          <t>-</t>
        </is>
      </c>
    </row>
    <row r="9" ht="110" customHeight="1">
      <c r="A9" s="4" t="inlineStr">
        <is>
          <t>1-5</t>
        </is>
      </c>
      <c r="B9" s="5" t="inlineStr">
        <is>
          <t>최고 관심 직업 선정하기</t>
        </is>
      </c>
      <c r="C9" s="5" t="inlineStr">
        <is>
          <t>4~5차시 활동을 종합해 관심 직업 4개(사회복지사·패션디자이너·초등교사·경찰관) 정보 정리 후 토너먼트로 최종 관심직업 선정</t>
        </is>
      </c>
      <c r="D9" s="5" t="inlineStr">
        <is>
          <t>사회복지사: 개인적·가정적·사회적으로 어려움을 겪는 사람이 문제를 해결하며 자신이 안정된 생활을 할 수 있도록 도움 / 사회복지학과·가정관리학과
패션디자이너: 여러 가지 소재를 활용해 남성복·여성복·아동복 라인 등을 디자인 / 의류학과·의상디자인학과
초등교사: 초등학생에게 전과목을 가르치고 교육 전 분야를 지도 / 교육대학교, 교원대·이화여대 등의 초등교육과
경찰관: 국민의 생명과 재산 보호 / 경찰행정학과·법학과·해양경찰학과
토너먼트 최종 선택: 경찰관 (선택 이유: 다양한 누군가를 도울 수 있으면 좋겠고 내가 도움 주는 것을 좋아하기 때문에 / 초등교사 포기 이유: 많은 아이들을 감당하고 관리하는 것이 싫음)
2단계 선택이유: 초등교사-아이들과 소통하는 것이 좋고 가르치는 게 재미있음 / 경찰관-억울한 일을 겪는 누군가를 돕고, 내가 힘이 되어 함께 든든한 존재이고 싶어서</t>
        </is>
      </c>
      <c r="E9" s="5" t="inlineStr">
        <is>
          <t>1차 관심 직업으로 '경찰관'이 최종 확정됨 — 1-1차시의 막막함과 달리 이 시점부터는 '돕는 직업'이라는 방향성이 뚜렷해짐</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경찰
본인 예측: 대체될 것 같은 일-업무 정리 / 협업할 것 같은 일-수사 / 절대 대체 불가-상담, 공감
AI 실습 결과: 대체가능-CCTV 영상 분석, 문서 작성·정리, 교통 단속·관리 / 협업-범죄 예측 및 단속 계획 수립, 수사 자료 분석, 목격자·용의자 수사 / 절대 불가-피해자·시민 공감 및 상담, 위기상황에서의 현장 판단, 윤리적·도덕적 판단
예측 비교: 'AI 예측과 내 예측이 비슷했다'에 체크, 달랐던 점: '비슷했다'
나만의 강점: 공감</t>
        </is>
      </c>
      <c r="E10" s="5" t="inlineStr">
        <is>
          <t>모둠토론(이름·직업·의견) 칸과 모둠 공통결론, 미래 명함 슬로건이 모두 공란 — 해당 활동에 참여하지 못했거나 기록을 누락한 것으로 보임</t>
        </is>
      </c>
      <c r="F10" s="5" t="inlineStr">
        <is>
          <t>미래 명함 슬로건, 모둠토론, 모둠 공통결론 전체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경찰행정학과 / 관심 대학: 동국대, 상단대(원문 판독 다소 불확실), 용인대
학과 개요: 경찰행정학은 사회 질서를 유지하고 범죄를 예방하며 안전과 정의를 실현하는 방법을 연구하는 학문이라고 서술
적성·흥미 연결: 필체 판독이 어려우나, 다른 사람을 돕고 정의를 실현하는 일을 좋아한다는 취지로 보임(원본 확인 권장)
고교 관련 과목: 수학, 영어, 정치와 법
대학 주요 교과목: 헌법, 법학개론, 경찰학개론, 범죄심리학, 국가정보학, 형사소송법
취득 가능 자격증: 일반경비지도사, 항공관리사, 컴퓨터활용 1·2·3급, 사회조사분석사
졸업 후 진출분야: 경찰공무원, 검찰·법원공무원, 교정 및 보호기관, 민간 보안업체
지금부터 노력할 것: 학과에 필요한 과목을 공부하고, 필요한 활동에 적극적으로 참여하기</t>
        </is>
      </c>
      <c r="E11" s="5" t="inlineStr">
        <is>
          <t>1-1차시의 막막함이 1-5·1-7차시를 거치며 '경찰관 → 경찰행정학과'로 뚜렷한 진로 방향으로 이어짐 — 학기 초 대비 진로 탐색의 진전이 보이는 학생</t>
        </is>
      </c>
      <c r="F11" s="5" t="inlineStr">
        <is>
          <t>적성·흥미 연결 문항 필체 판독 어려움, 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일괄 학생부교과70%+교과관련영역 서류종합평가30%)
학생부종합 'Do Dream'(9명, 1단계 서류종합평가100%→2단계 면접40%+1단계성적60%)
논술(5명, 일괄 학생부30%(교과20%+출결10%)+논술70%)
정시 수능 나군(9명, 수능80%+학생부20%)</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농업생명과학대학 스마트시스템과학과
학업역량: 1순위 A(이유: 내용이 가장 알차고 좋아 보임), 2순위 B, 3순위 C
진로역량: 1순위 A(이유: 진로를 위해 열심히 여러 활동을 함께함), 2순위 B, 3순위 C
공동체역량: 1순위 A(이유: 성격과 생각, 태도가 닮았고 함께 행동을 잘 이끌어감), 2순위 B, 3순위 C
예상결과: A-B-C / 실제결과: A-C-B (부분 일치)
느낀 점: 평가 과정에서 무엇을 신뢰할 수 있는지가 중요하다고 느꼈고, 앞으로 결과보다 과정에서 얻은 배움과 변화를 중요하게 여겨야겠다는 취지로 서술함
배운 점: 다른 학생의 탐구 활동에서 배운 내용을 그대로 받아들이지 않고 소화하며, 여러 방향으로 생각하는 태도가 성장하고 있음을 느꼈다는 취지로 서술함</t>
        </is>
      </c>
      <c r="E13" s="5" t="inlineStr">
        <is>
          <t>느낀 점·배운 점을 매우 성찰적으로 서술한 사례</t>
        </is>
      </c>
      <c r="F13" s="5" t="inlineStr">
        <is>
          <t>-</t>
        </is>
      </c>
    </row>
    <row r="14" ht="266"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트랙 선택 이유: 평소 경찰 분야에 관심이 있고, 진로와 관련된 주제를 선정하여 자료를 수집하고 탐구하는 과정을 경험해 보고 싶어서 선택했다
탐구 유형: 체크 안 함
관심 분야: 경찰 – 경찰행정학과
그렇게 생각한 이유: 평소 경찰과 사회의 안전, 범죄 예방 등에 관심이 있고, 경찰의 역할과 업무에 대해 더 자세히 알아보고 싶어서 경찰행정학과를 관심 진로로 생각했다
잠정 탐구 주제: 사이버 범죄의 증가와 경찰의 역할
주제 선택 이유: 최근 인터넷과 스마트폰의 사용이 늘어나면서 사이버 범죄도 증가하고 있다는 점에 관심이 생겼다
8차시 계획(화살표로 순서 조정): 탐구 방법 안내 &amp; 계획 → 자료수집·스크랩 → 자료분석 및 마인드맵 → 심화탐구(인터뷰/설문) → 발표자료 기획 및 제작 → 발표 &amp; 동료 피드백
한 줄 다짐: 미기재</t>
        </is>
      </c>
      <c r="E14" s="5" t="inlineStr">
        <is>
          <t>경찰행정학과 진로가 1학기부터 일관됨. 1차시 잠정 주제(사이버 범죄)에서 2차시 'CCTV와 범죄 예방'으로 주제를 바꿈. 8차시 계획을 스스로 순서 조정하며 짜임새 있게 구성함</t>
        </is>
      </c>
      <c r="F14" s="5" t="inlineStr">
        <is>
          <t>탐구 유형 체크, 한 줄 다짐 미기재</t>
        </is>
      </c>
    </row>
    <row r="15" ht="154"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미기재)
핵심 탐구 질문: CCTV는 범죄 예방에 어떤 영향을 미치는가?
하위 질문① 우리나라의 CCTV 설치 및 이용 현황은 어떠한가?
하위 질문② CCTV가 범죄 예방과 범죄 수사에 어떻게 활용되고 있는가?
하위 질문③ CCTV를 활용한 범죄 예방의 효과와 한계는 무엇인가?
활용할 자료원: 경찰청, 국가통계포털(KOSIS), 개인정보보호위원회, 관련 기사·논문</t>
        </is>
      </c>
      <c r="E15" s="5" t="inlineStr">
        <is>
          <t>1학기 1-7 탐색 학과(경찰행정학과)와 직접 연결되는 주제. 현황→활용→효과와 한계로 이어지는 하위 질문 구성과 구체적인 공공기관 자료원 선정이 돋보임</t>
        </is>
      </c>
      <c r="F15" s="5" t="inlineStr">
        <is>
          <t>학번을 한 번 잘못 적고 지운 뒤 10108로 다시 기재함</t>
        </is>
      </c>
    </row>
    <row r="16" ht="380"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5개 + 메모 (④·⑤는 분홍색 펜으로 추가)
· ① 서울특별시 「스마트서울 CCTV 안전체계 구축」: 서울시는 2024년 12월 31일 기준 약 21만 대(214,695대, 판독 추정)의 CCTV를 운영하며, 이 중 범죄예방·수사용 CCTV도 많이 설치되어 있음
· ② 개인정보보호위원회 「공공기관 보유 CCTV 현황」: 공공기관 CCTV는 범죄예방뿐 아니라 시설 안전·교통 단속 등 다양한 목적으로 설치·운영됨
· ③ KCI 「방범용 CCTV의 범죄유형별 범죄예방효과 연구」: CCTV 설치 전후를 비교한 연구에서 폭력범죄는 예방 효과가 나타났지만 절도범죄는 통계적으로 뚜렷한 감소 효과가 없었음
· ④ 연합뉴스 「부천시 CCTV 관제센터, 범죄 예방 기능 '톡톡'」: 관제센터가 폭행 사건을 실시간으로 확인해 경찰에 신고하고, 강도 사건의 도주 차량 정보를 확인하는 등 범죄예방과 수사에 활용
· ⑤ 연합뉴스 「CCTV 효과 도난범죄 73% 감소…현금 노린 생계형 범죄는 늘어」: 2022~2024년 자료 분석 결과 보안 시설이 강화되며 전체 도난 범죄 건수가 약 73% 감소
· 메모: 'CCTV가 범죄를 예방할 뿐만 아니라 범죄가 발생했을 때 수사에도 활용된다는 점이 흥미로움. CCTV로 인한 범죄예방 효과를 더 알아가 보고 싶음.'</t>
        </is>
      </c>
      <c r="E16" s="5" t="inlineStr">
        <is>
          <t>2차시 하위 질문(현황 → 활용 → 효과와 한계) 순서 그대로 서울시 통계·정부 현황·학술 연구·뉴스를 모음. 특히 '폭력범죄엔 효과, 절도엔 효과 없음'(③)과 '도난 73% 감소'(⑤)처럼 서로 다른 결과를 함께 찾아 '효과와 한계'를 비교할 소재를 갖춤. 경찰행정 진로와 일관됨.</t>
        </is>
      </c>
      <c r="F16" s="5" t="inlineStr">
        <is>
          <t>자료 ① 수치 일부 판독 어려움</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10109 박소연)</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미기재
자기소개: 강아지를 키움, 자매임, MBTI는 INFP(3문항 모두 참으로 보이며 거짓 표시 없음) / 2·3번 문항은 미기재
진로탐색 태도: '자신있게 말할 수 있다'는 '그렇다', 상담 경험은 '그렇다'로 응답
상담 상대: 부모나 친척 / 진로결정 중요 기준: 나의 소질과 적성
정보탐색: 부모님 말씀
노력: 기타 응답에 'X' 표시(별다른 노력을 기울이고 있지 않다는 취지로 보임)
진로결정 어려운 점: 기타 — '성격'이라고 직접 기재(성격 때문에 진로 결정이 어렵다는 취지)
하고 싶은 진로 활동(자유서술): '방사선사'라고 이미 이 시점부터 명확히 기재함
약속 체크, 다짐 5글자 모두 미기재</t>
        </is>
      </c>
      <c r="E5" s="5" t="inlineStr">
        <is>
          <t>1차시부터 이미 '방사선사'라는 구체적인 희망 진로를 밝힌 점이 눈에 띔 — 이후 차시(1-4·1-5·1-7)까지 이 방향이 일관되게 이어짐. 진로결정이 어려운 이유로 '성격'을 꼽은 점은 상담 시 짚어볼 만함</t>
        </is>
      </c>
      <c r="F5" s="5" t="inlineStr">
        <is>
          <t>진진가 퀴즈 정답, 약속 체크, 다짐 5글자 미기재</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지필+수행평가 합산(비중 40~60%), 졸업 총 192학점, 2학년 때부터 (진로)에 맞게 과목 선택, 1학년 여름방학 전까지 희망 계열 정하기 권장
세특 핵심 키워드(세부능력 및 특기사항)까지는 채웠으나 '세특을 잘 채우기 위한 학생의 태도' 문항은 공란
창체 영역: 자율활동/동아리활동/행동특성 및 종합의견 구분
2028수능 공통과목화, 정시에도 내신 반영 대학 증가까지 기재</t>
        </is>
      </c>
      <c r="E6" s="5" t="inlineStr">
        <is>
          <t>-</t>
        </is>
      </c>
      <c r="F6" s="5" t="inlineStr">
        <is>
          <t>'세특을 잘 채우기 위한 태도' 문항,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3번 문항(동점자·세특·NEIS 질문)은 모두 공란
1차 정기고사 목표점수: 국어 88~90점만 기재, 나머지 과목(수학·영어·한국사·통합사회·통합과학)은 공란
4/8~4/20 학습 계획표: 4/10~4/12 국어 과목(문법 암기·정리·이해·풀기, 오답노트 정리)만 간단히 계획, 나머지 날짜와 과목은 모두 공란</t>
        </is>
      </c>
      <c r="E7" s="5" t="inlineStr">
        <is>
          <t>목표점수와 학습계획 모두 국어 과목에만 국한되어 있어, 다른 과목에 대한 학습 계획 수립을 함께 지도하면 좋을 것 같음</t>
        </is>
      </c>
      <c r="F7" s="5" t="inlineStr">
        <is>
          <t>3번 문항, 국어 외 과목 목표점수·학습계획 전체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①신중성(제갈공명/스마트재난관리 전문가·미래안전관·산업안전 관련직) ②끈기(세종대왕/반려동물 훈련·코칭 전문가·훈련사 관련직) ③도덕성(임마누엘 칸트/의약품인허가 전문가·교사·판사)
핵심 강점 '신중성' 선택, 강화 방안: '더 깊게 생각해서 행동하는 것이다'
MIT 전공흥미검사: 1순위 희망전공 간호·보건(추천 간호·보건 / 간호사·보건교사 / 간호학과), 2순위 희망전공 산업·안전공학(추천 주거·의류 / 인테리어디자이너 / 실내디자인학과), 3순위 희망전공 물리·전자(추천 의료 / 응급구조사 등 의료 관련직 / 의료 관련학과)
희망전공-추천전공 일치여부 서술: '의료 전공이다. 왜냐하면 의사는 되고 싶지 않고 방사선사 쪽에 관심이 많아서 3순위를 선택했기 때문이다'라고 구체적으로 서술함
선호 직무유형: 아이디어형 / 중요 직업가치 1~3순위: 안정성 &gt; 사회봉사 &gt; 경제적 풍족</t>
        </is>
      </c>
      <c r="E8" s="5" t="inlineStr">
        <is>
          <t>1-1차시부터 밝힌 '방사선사' 희망이 이 차시에서도 명확히 재확인됨 — 의사가 아닌 방사선사를 특정해 선택한 이유를 스스로 논리적으로 설명함</t>
        </is>
      </c>
      <c r="F8" s="5" t="inlineStr">
        <is>
          <t>-</t>
        </is>
      </c>
    </row>
    <row r="9" ht="110" customHeight="1">
      <c r="A9" s="4" t="inlineStr">
        <is>
          <t>1-5</t>
        </is>
      </c>
      <c r="B9" s="5" t="inlineStr">
        <is>
          <t>최고 관심 직업 선정하기</t>
        </is>
      </c>
      <c r="C9" s="5" t="inlineStr">
        <is>
          <t>4~5차시 활동을 종합해 관심 있는 직업 정보를 정리하고 토너먼트를 통해 최고 관심 직업을 선정하는 차시</t>
        </is>
      </c>
      <c r="D9" s="5" t="inlineStr">
        <is>
          <t>직업 정보표에는 '방사선사' 한 개 직업만 작성함: 하는 일-방사선 장비 관리, 검사기기 위생·점검, 촬영 결과를 의사에게 제공해 진단을 돕는 일 / 필요능력-꼼꼼함과 집중력, 배려심, 침착성과 정확성, 인내심, 의료기기에 대한 흥미 / 관련학과-방사선학과, 임상병리학과, 물리치료학과 등
토너먼트 브래킷은 정식으로 채우지 않고, 표 바깥 여백에 '간질병간호사, 췰이든반사선사, 치료방사선사, 방사선등급검사·산업위생, 임상검사기사, 진단방사선과 전공의' 등 관심 직업군 이름을 목록 형태로 나열함</t>
        </is>
      </c>
      <c r="E9" s="5" t="inlineStr">
        <is>
          <t>토너먼트 활동 형식은 지키지 않았지만, '방사선사' 관련 세부 직업(치료방사선사, 진단방사선과 전공의 등)을 스스로 여러 개 조사해 나열함 — 관심 분야 자체는 뚜렷하고 조사 의지도 있어 보임</t>
        </is>
      </c>
      <c r="F9" s="5" t="inlineStr">
        <is>
          <t>4개 직업 비교표 중 3칸 공란, 토너먼트 선택이유·최종 관심직업 명시 없음</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칸은 공란이나, 예측 칸에 '검사 결과가 나오면 결과 판단은 다 검사 후 의사에게 제공하는 것'이라는 취지의 문장을 세 칸에 걸쳐 적어, 대체/협업/대체불가 구분 없이 하나의 문장으로 작성함(방사선사 업무를 염두에 둔 것으로 보임)</t>
        </is>
      </c>
      <c r="E10" s="5" t="inlineStr">
        <is>
          <t>AI 실습(STEP2), 강점 찾기, 미래 명함, 모둠토론, 모둠 공통결론이 모두 공란 — 이 차시 활동을 거의 진행하지 못한 것으로 보임</t>
        </is>
      </c>
      <c r="F10" s="5" t="inlineStr">
        <is>
          <t>STEP1 이후 전체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방사선학과 / 관심 대학: 가천대
학과 개요, 적성·흥미 연결, 고교 관련 과목, 대학 주요 교과목은 모두 공란
취득 가능 자격증란에는 방사선사(국가시험), 초음파검사사, 핵의학기술사, 방사선취급감독자, 방사선안전관리자, 의료기기 RA 전문가, 심혈관중재술 방사선사, 종양방사선치료사 등 관련 자격증을 매우 길고 구체적으로 나열함
졸업 후 진출분야는 공란
지금부터 노력할 것: '공백을 더 열심히 채워봐야겠다'</t>
        </is>
      </c>
      <c r="E11" s="5" t="inlineStr">
        <is>
          <t>다른 항목은 대부분 비어 있지만 취득 가능 자격증만 유독 상세하게 조사함 — 관련 자격 체계에는 관심이 많으나 학과 자체의 교육과정 이해로는 아직 이어지지 못한 것으로 보임. 본인 스스로도 다짐에서 '공백을 채워야겠다'고 적음</t>
        </is>
      </c>
      <c r="F11" s="5" t="inlineStr">
        <is>
          <t>학과 개요, 적성·흥미 연결, 고교 관련 과목, 대학 주요 교과목, 졸업 후 진출분야, 학과 전망 모두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일괄 학생부교과70%+교과관련영역 서류종합평가30%)
학생부종합 'Do Dream'(9명, 1단계 서류종합평가100%→2단계 면접40%+1단계성적60%)
논술(5명, 일괄 학생부30%(교과20%+출결10%)+논술70%)
정시 수능 나군(9명, 수능80%+학생부20%)</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조선해양공학과
학업역량: 전체 미기재
진로역량: 1순위 C(이유: 로켓 제작, 심해저 유인 탐사, 유체역학, 자율주행·로봇 설계 등을 체계적으로 수행해 조선·해양 관련 학과와의 연계가 강함), 2순위 B, 3순위 A
공동체역량: 1순위 A(이유: 2년간 자발적으로 멘토링에 참여해 친구들의 학습을 도왔고, 협력적인 태도가 우수함), 2순위 C, 3순위 B
예상결과·실제결과: 미기재
느낀 점·배운 점: 미기재</t>
        </is>
      </c>
      <c r="E13" s="5" t="inlineStr">
        <is>
          <t>학업역량 항목 전체와 예상/결과, 느낀점/배운점이 비어 있어 시간 내 활동을 다 마치지 못한 것으로 보임</t>
        </is>
      </c>
      <c r="F13" s="5" t="inlineStr">
        <is>
          <t>학업역량, 예상/실제결과, 느낀점/배운점 미기재</t>
        </is>
      </c>
    </row>
    <row r="14" ht="266"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트랙 선택 이유: 미기재
탐구 유형: 체크 안 함
관심 분야: 방사선사, 형사, 바리스타
그렇게 생각한 이유: ①사람들과 많은 대화를 하기보다는 의료 장비를 다루고 정확하게 검사하는 일이 나의 성향과 잘 맞는 것 같아 관심 ②사건이 발생했을 때 여러 가지 단서를 분석하고 범인을 찾아가는 과정이 재미있을 것 같아 관심 ③평소 음료를 좋아하고 새로운 음료를 직접 만들어 보는 것에 흥미가 있어 바리스타도 생각하게 됨(일부 판독 추정)
잠정 탐구 주제: 방사선사는 의료 영상 촬영에서 어떤 역할을 하며, 방사선의 안전한 사용을 위해 어떤 노력을 할까
주제 선택 이유: 평소 방사선사에 관심이 있었는데 방사선사가 의료 영상 촬영에서 어떤 일을 하는지 궁금했다. 또한 방사선을 안전하게 사용하는 방법도 알아보고 싶어서
2쪽(8차시 계획·한 줄 다짐): 전부 공란</t>
        </is>
      </c>
      <c r="E14" s="5" t="inlineStr">
        <is>
          <t>관심 직업마다 '나의 성향과 맞는 이유'를 따로 적는 등 자기 성향에 대한 이해가 드러남(대화보다 장비·정확성 선호). 방사선사 진로가 1학기부터 일관되며 2차시 X선·CT·MRI 주제로 구체화됨</t>
        </is>
      </c>
      <c r="F14" s="5" t="inlineStr">
        <is>
          <t>트랙 선택 이유, 8차시 계획, 한 줄 다짐 미기재, 이유 칸 글씨가 칸 밖으로 넘쳐 일부 판독 추정</t>
        </is>
      </c>
    </row>
    <row r="15" ht="182"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미기재)
핵심 탐구 질문: X선·CT·MRI의 진단 정확도와 활용도는 어떻게 다를까?
하위 질문① X선, CT, MRI는 같은 신체 부위를 검사할 때 어떤 차이가 있을까?
하위 질문② 질환이나 검사 목적에 따라 X선, CT, MRI 중 어떤 검사를 할까?
하위 질문③ X선, CT, MRI 검사를 할 때 환자에게 어떤 장점과 주의점이 있을까?
활용할 자료원: 국가암정보센터, 서울대학교병원, 질병관리청의 의료영상검사 및 의료방사선 관련 자료를 활용해 X선·CT·MRI의 검사 원리, 활용분야, 장단점, 환자 주의사항 등을 조사</t>
        </is>
      </c>
      <c r="E15" s="5" t="inlineStr">
        <is>
          <t>1학기 희망 진로(방사선사·방사선학과)와 정확히 연결됨. 1-7에서는 학과 탐색 항목 대부분이 공란이었던 것에 비해 이번 계획서는 질문·자료원 모두 매우 구체적이고 완성도가 높음</t>
        </is>
      </c>
      <c r="F15" s="5" t="inlineStr">
        <is>
          <t>-</t>
        </is>
      </c>
    </row>
    <row r="16" ht="380"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5개 + 메모 (자료를 하위 질문 ①②③으로 묶어 표시하고 여백까지 보충 설명)
· ① 국가암정보센터 '영상진단검사': X선 검사는 인체를 통과하는 X선으로 뼈·폐 등의 구조적 변화를 확인하는 데 주로 쓰이고, CT는 X선을 여러 방향에서 이용해 인체의 단면 영상을 얻음
· ② 서울대학교병원 'CT검사정보': CT는 X선으로 단면 영상을 만들고, MRI는 X선 대신 자기장과 고주파로 영상을 만듦 → 영상을 만드는 원리와 촬영 방식이 다름
· ③ 서울대학교병원 'CT검사정보': CT는 단순 X선보다 구조물이 겹쳐 보이는 것이 적어 병변을 더 자세히 확인할 수 있어 여러 장기·질환의 정밀검사에 쓰임. MRI는 검사 목적과 부위에 따라 선택
· ④ 질병관리청 '영상진단 정당성 가이드라인': 영상검사는 방사선 위험보다 의료적 이득이 클 때 시행하는 것이 원칙 → 환자 상태와 목적에 맞는 검사를 골라 불필요한 피폭을 줄이는 것이 중요
· ⑤ 서울대학교병원 'CT검사정보': CT는 짧은 시간에 선명한 단면 영상을 얻지만 X선을 쓰기 때문에 일정 수준의 피폭이 생기고, 검사 중 움직이면 영상 질이 떨어지며, 조영제를 쓸 때는 부작용도 확인해야 함
· 메모: 'X선·CT·MRI는 각각 장단점과 활용 방법이 다르다는 것을 알게 되었다. 환자에게 적절한 검사를 선택하고 안전하게 촬영하는 방사선사의 역할이 중요하다고 생각했다.'</t>
        </is>
      </c>
      <c r="E16" s="5" t="inlineStr">
        <is>
          <t>자료를 하위 질문별로 묶어 정리하고 칸이 모자라 여백까지 채울 만큼 충실함. 병원·국가기관 자료로 X선·CT·MRI의 원리·장단점·안전성을 비교했고, 메모에서 방사선사의 역할로 연결함. 1학기에 학과 탐색이 대부분 공란이었던 것과 비교하면 매우 큰 성장.</t>
        </is>
      </c>
      <c r="F16" s="5" t="inlineStr">
        <is>
          <t>여백 보충 문장 일부 판독 어려움 / ②③⑤ 출처가 같은 웹페이지</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10110 박수진)</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선생님께 전하는 첫인사: '안녕하세요'
자기소개(거짓 찾기 유형): A형이다 / 여동생이 있다 / 햄스터를 키운다 — 어느 것이 거짓인지 표시는 확인 어려움
진로탐색 태도: '자신있게 말할 수 있다'·'열심히 노력한다'·'공부 필요성을 알고 노력한다'는 '그렇다', 가족과의 대화·상담 경험은 '보통이다'
상담 상대: 학원강사, 부모나 친척(복수 응답) / 진로결정 중요 기준: 나의 소질과 적성
정보탐색: 기타 응답(체험학습 관련으로 보이나 필체 판독 어려움)
노력: 기타에 별다른 응답 없음
진로결정 어려운 점: 기타 응답(필체 판독 어려움), 여백에 '꿈이 영어선생님입니다'라는 문구를 추가로 적어둠
가장 중요한 약속: '연결'(이유: 내 미래가 중요해서)
새롭게 깨달은 점: '좋았다'
다짐 5글자: 필체 판독이 어려워 정확한 문구 확인 필요(원본 확인 권장)</t>
        </is>
      </c>
      <c r="E5" s="5" t="inlineStr">
        <is>
          <t>1차시부터 여백에 '꿈이 영어선생님입니다'라고 적어둘 만큼 희망 진로가 이미 뚜렷했고, 이후 차시(1-5·1-6·1-7)까지 '영어교사'로 매우 일관되게 이어짐</t>
        </is>
      </c>
      <c r="F5" s="5" t="inlineStr">
        <is>
          <t>진진가 퀴즈 정답, 다짐 5글자, 일부 기타 응답 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합산(비중 40~60%), 졸업 총 192학점, 2학년 때부터 (희망 계열)에 맞게 과목 선택, 1학년 여름방학까지 진로를 정하는 것이 좋음
세특 핵심: 세부능력 및 특기사항까지는 기재했으나 '세특을 잘 채우기 위한 학생의 태도' 문항은 공란
창체 영역: 자율활동/동아리활동/행동특성 및 종합의견까지 모두 정확히 기재
2028수능 공통과목화, '역전'·'주도성' 개념까지 대체로 기재했으나, '정시 전형에서 수능 점수뿐 아니라 무엇을 함께 반영하는 대학이 늘고 있는가' 문항에는 '정시'라고 적어 질문 취지(내신)와 다른 답을 적은 것으로 보임 — 확인 필요</t>
        </is>
      </c>
      <c r="E6" s="5" t="inlineStr">
        <is>
          <t>정시 반영 관련 문항 답변이 질문 취지와 다르게 기재되어 있어 원본 확인이 필요함</t>
        </is>
      </c>
      <c r="F6" s="5" t="inlineStr">
        <is>
          <t>'세특을 잘 채우기 위한 태도' 문항,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동점자 질문 답: 전원 2등급 / 세특·NEIS 질문 2개는 미기재
1차 정기고사 목표점수: 표 전체 공란
4/8~4/14 학습 계획표: 공통영어 과목에만 본문1·본문2·단어·오답·복습 순으로 촘촘히 계획을 세웠고, 4/15 이후와 영어 외 과목은 전부 공란</t>
        </is>
      </c>
      <c r="E7" s="5" t="inlineStr">
        <is>
          <t>학습계획이 영어 과목에만 매우 집중되어 있어, 희망 진로(영어교사)와 방향은 일치하지만 다른 과목 학습 균형을 함께 지도하면 좋을 것 같음</t>
        </is>
      </c>
      <c r="F7" s="5" t="inlineStr">
        <is>
          <t>목표점수 표 전체 미기재, 영어 외 과목 학습계획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①호기심(알버트 아인슈타인/로봇공학자·과학자·기자·여론조사전문가) ②창의성(장영실/가상현실전문가·게임디자이너·웹툰작가) ③유머(조지 버나드 쇼/코미디언·방송작가·예능작가)
핵심 강점 '호기심' 선택, 강화 방안: '궁금해하기'
MIT 전공흥미검사: 1순위 희망전공 초·중등교육(추천 외국어문학 / 외국어강사·번역가·유튜버 / 영어영문학과), 2순위 희망전공 유아·특수교육(추천 초·중등교육 / 교육연구원·초등교사·중고교사 / 초등교육과), 3순위 희망전공 외국어문학(추천 유아·특수교육 / 유치원교사·특수교사·보육교사 / 유아교육과)
희망전공-추천전공 일치 여부 서술: '위 세 개가 다 다르다'고 짧게 서술함
선호 직무유형: 글로벌형 / 중요 직업가치 1~3순위: 안정성 &gt; 사회봉사 &gt; 사회적 인정</t>
        </is>
      </c>
      <c r="E8" s="5" t="inlineStr">
        <is>
          <t>희망전공 1순위·추천전공 2순위가 모두 '교육' 계열로 겹치며, 1-1차시에서 밝힌 '영어교사' 희망과 방향이 일치함</t>
        </is>
      </c>
      <c r="F8" s="5" t="inlineStr">
        <is>
          <t>일치 여부 서술이 짧아 근거 보완 지도가 있으면 좋을 것 같음</t>
        </is>
      </c>
    </row>
    <row r="9" ht="110" customHeight="1">
      <c r="A9" s="4" t="inlineStr">
        <is>
          <t>1-5</t>
        </is>
      </c>
      <c r="B9" s="5" t="inlineStr">
        <is>
          <t>최고 관심 직업 선정하기</t>
        </is>
      </c>
      <c r="C9" s="5" t="inlineStr">
        <is>
          <t>4~5차시 활동을 종합해 관심 직업 4개(영어선생님·유치원교사·초등교사·보육교사) 정보 정리 후 토너먼트로 최종 관심직업 선정</t>
        </is>
      </c>
      <c r="D9" s="5" t="inlineStr">
        <is>
          <t>영어선생님: 중·고등학생에게 영어 이해·표현 능력을 길러주기 위해 언어·문화적으로 가르침 / 영어교육과
유치원교사: 만3세 이상 유아를 대상으로 원리·원칙에 맞는 유아교육을 담당 / 유아교육과
초등교사: 아이들 가까이에서 발달을 돕는 일 / 초등교육과
보육교사: 다양한 기관에서 유아의 양육과 보육 역량을 발휘 / 아동보육학과
토너먼트 최종 선택: 영어선생님 (선택 이유: 영어를 좋아해서 / 보육교사 포기 이유: 영어가 더 좋아서)
2단계 선택이유: 영어교사-영어를 좋아해서 / 보육교사-아기들을 좋아해서</t>
        </is>
      </c>
      <c r="E9" s="5" t="inlineStr">
        <is>
          <t>1-1차시부터 이어진 '영어교사' 희망이 이 차시에서도 최종 관심직업으로 명확히 확정됨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영어교사
본인 예측: 대체될 것 같은 일-채점 / 협업할 것 같은 일-복습자료 제공 / 절대 대체 불가-동기부여
AI 실습 결과: 대체가능-교안 설명, 단어·숙제 관리, 발음 교정 / 협업-학생 수준별 학습계획 짜기, 숙제·학습지 제작 / 절대 불가-학생 간 갈등 중재, 동기부여, 학급 분위기 조성 및 생활지도
예측 비교: 'AI가 못하는 부분이 내 생각보다 많았다'에 체크
나만의 강점: 동기부여
미래 명함 슬로건: 'AI가 [채점]하는 동안, 나는 [공감]한다'
모둠토론(박수진-영어교사, 임성미-체육교사, 나현수-유치원교사, 조준호-호텔경영자): 본인 항목에 '동기부여' 기재
모둠 공통결론: 'AI가 절대 못하는 건 학생의 감정을 진심으로 공감하고, 학생과 인간적인 신뢰관계를 형성하는 것이다 / 관계를 형성하는 것입니다'(보충 서술 포함)</t>
        </is>
      </c>
      <c r="E10" s="5" t="inlineStr">
        <is>
          <t>-</t>
        </is>
      </c>
      <c r="F10" s="5" t="inlineStr">
        <is>
          <t>-</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영어교육과 / 관심 대학: 한양대
학과 개요: 영어의 소통 능력을 신장하기 위한 다양한 교수법과 적용 지식을 체계적으로 연구하는 학문으로, 순수 이론에 그치지 않고 언어를 실천하는 응용학문이라고 서술
적성·흥미 연결: '영어를 좋아한다'
고교 관련 과목: 영어 / 대학 주요 교과목: 영어회화, 영어독해, 응용영어학
취득 가능 자격증: 중등학교 정교사 2급(영어) / 졸업 후 진출분야: 국·공립 중등학교, 교육부
지금부터 노력할 것: 영단어 열심히 외우고 관련 활동에 참여하기(문구 일부 판독 어려움)</t>
        </is>
      </c>
      <c r="E11" s="5" t="inlineStr">
        <is>
          <t>희망 진로(영어교사)와 학과 탐색(영어교육과) 방향이 1-1차시부터 매우 일관되게 이어지는 학생</t>
        </is>
      </c>
      <c r="F11" s="5" t="inlineStr">
        <is>
          <t>학과 전망(취업률) 항목 미기재, 다짐 문구 일부 판독 어려움</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일괄 학생부교과70%+교과관련영역 서류종합평가30%)
학생부종합 'Do Dream'(9명, 1단계 서류종합평가100%→2단계 면접40%+1단계60%)
논술(5명, 일괄 학생부30%(교과20%+출결10%)+논술70%)
정시 수능 나군(9명, 일괄 수능80%+학생부평가20%)</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스마트시스템과학과
학업·진로·공동체역량 모두 1순위 C, 2순위 A, 3순위 B로 동일하게 응답 (이유: C가 다른 학생 A·B에 비해 여러 방면에서 균형 있고 체계적이며 성숙하기 때문이라고 세 영역에 공통 적용)
예상결과: C-A-B / 실제결과: A(수정 흔적)-C-B (불일치)
느낀 점: '나도 공부 열심히 하는 생각을 갖춰야겠다' / 배운 점: '꾸준히 열심히 하자'</t>
        </is>
      </c>
      <c r="E13" s="5" t="inlineStr">
        <is>
          <t>세 영역(학업·진로·공동체) 순위를 모두 동일하게 매기고 이유도 하나로 통일해 적용함 — 영역별 차별화된 평가보다는 전반적 인상으로 판단한 것으로 보임</t>
        </is>
      </c>
      <c r="F13" s="5" t="inlineStr">
        <is>
          <t>-</t>
        </is>
      </c>
    </row>
    <row r="14" ht="224"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트랙 선택 이유: 영어 교사를 진로로 희망하며 영어 학습과 교육 방법에 관심이 있어, 교육과 관련된 주제를 스스로 탐구하고 조사하는 과정을 통해 진로에 대한 이해를 넓히고자 주제탐구 트랙을 선택했다
탐구 유형: ① 진로 연계형
관심 분야: 영어, 교육, 교사
그렇게 생각한 이유: 교사를 진로로 희망하고 있어서 학생들을 가르치고 성장하도록 돕는 교육에 관심이 있음
잠정 탐구 주제: 교사의 수업 방식이 학생의 학습 참여와 학업 성취도에 미치는 영향
주제 선택 이유: 교사를 희망하는 만큼 효과적인 수업이 학생들의 학습에 어떤 영향을 주는지 궁금했다
8차시 계획: 모든 칸에 '//'(위와 같음) 표시만 함
한 줄 다짐: 박수진 화이팅!</t>
        </is>
      </c>
      <c r="E14" s="5" t="inlineStr">
        <is>
          <t>영어 교사 진로가 매우 뚜렷하고 1학기부터 일관됨. 1차시 잠정 주제가 2차시 핵심 질문으로 자연스럽게 이어짐. 다만 8차시 세부 계획은 예시 흐름을 그대로 따르겠다는 표시만 해 둠</t>
        </is>
      </c>
      <c r="F14" s="5" t="inlineStr">
        <is>
          <t>8차시 세부 계획 미작성('//' 표시)</t>
        </is>
      </c>
    </row>
    <row r="15" ht="196"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김민정)
핵심 탐구 질문: 학생의 학습효과를 높이는 교육 방법에는 어떤 것들이 있는가?
하위 질문① 학생의 학습동기와 학업성취도에 영향을 미치는 교육 방법은 무엇인가? / 영어 학습동기를 높이는 효과적인 교육 방법은 무엇인가?
하위 질문② 학생의 참여를 높이기 위해 교사는 어떤 수업 방법을 활용할 수 있는가?
하위 질문③ 학생의 개인차를 고려한 교육은 학습에 어떤 영향을 미치는가? / 학생의 수준과 개인차를 고려한 영어교육은 학습효과를 높이는 데 어떤 도움이 되는가?
활용할 자료원: 교육부 자료, 한국교육학술정보원 자료, 교육 관련 학술논문, 교육부 영어교육 자료, 영어교육 관련 학술논문</t>
        </is>
      </c>
      <c r="E15" s="5" t="inlineStr">
        <is>
          <t>1학기 희망 진로(영어교사·영어교육과)와 연결됨. 일반 교육 질문 아래에 '영어교육'으로 좁힌 질문을 덧붙여 스스로 주제를 구체화하는 과정이 보임. 함께한 친구 김민정(10103)과는 다른 주제로 작성함</t>
        </is>
      </c>
      <c r="F15" s="5" t="inlineStr">
        <is>
          <t>-</t>
        </is>
      </c>
    </row>
    <row r="16" ht="380"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5개 + 메모 (출처는 기관 이름만 적음)
· ① 교육부 자료: 2022 개정 교육과정은 학생의 삶과 연계된 학습과 진로·적성을 고려한 교육을 강조하며, 학교교육이 지식 전달에서 벗어나 학생의 성장과 선택을 지원하는 방향으로 변하고 있음
· ② 한국교육학술정보원 자료: 디지털 기술과 AI를 활용한 교육이 확대되고, 교원의 디지털 역량 강화와 학생 맞춤형 교육을 지원함. 디지털 기술을 쓰되 인간적인 지도와 수업 혁신을 함께 강조
· ③ 교육부 영어교육 자료: 2022 개정 교육과정의 영어교육은 듣기·말하기·읽기·쓰기를 넘어 이해와 표현 중심으로 구성되며, 생활 속 영어 의사소통 능력과 진로·적성에 맞는 영어교육을 중시함
· ④ 한국직업능력연구원: 진로교육은 학생이 적성과 진로를 탐색하고 학교생활과 미래 진로를 연결하도록 돕는 데 중요하며, 진로 체험·활동으로 진로 개발 역량을 키울 필요가 있음
· ⑤ 한국교육개발원 교육연구자료: 교육은 학업 성취뿐 아니라 학생의 성장·학교생활·교육격차 등을 함께 고려해야 하며, 학생 특성과 필요를 고려한 교육환경이 중요함
· 메모: '교육은 단순히 지식을 전달하는 것이 아니라 학생의 적성과 진로를 발견하고 성장할 수 있도록 돕는 과정이라고 생각한다.'</t>
        </is>
      </c>
      <c r="E16" s="5" t="inlineStr">
        <is>
          <t>교육부·교육 연구기관 자료 5개를 충실히 요약했고, 자료 ③에서 2차시에 좁힌 '영어교육'을 다룸. 다만 출처가 기관 이름뿐이라 자료 제목·연도를 적도록 안내 필요. 교육 일반 자료가 많아 핵심 질문(학습효과를 높이는 교육 방법)에 대한 직접 근거는 더 찾아야 함.</t>
        </is>
      </c>
      <c r="F16" s="5" t="inlineStr">
        <is>
          <t>출처에 자료 제목·연도 없음(기관명만)</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10111 박주빈)</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미기재
자기소개(거짓 찾기 유형): 'A형이다'가 거짓(ENTJ, 외동은 사실) / '가장 좋아하는 동물은 해달이다'가 거짓(동물 다루는 것을 좋아함, 집~학교 도보 5분은 사실)
진로탐색 태도: '자신있게 말할 수 있다'·'가족과 구체적으로 이야기 나눈다'는 둘 다 '매우 그렇지 않다'(최저), '열심히 노력한다'는 '그렇다', 상담 경험은 '그렇지 않다'
상담 상대: 부모나 친척 / 진로결정 중요 기준: 나의 소질과 적성 / 정보탐색: 유튜브 시청
노력: 틈틈이 진로에 대한 정보를 수집 / 어려운 점: 나의 특성(흥미·적성·가치관·성격 등)을 몰라서
자유 서술: '내가 하고 싶은 것을 잘 도달하게 계획하고 싶습니다'
가장 중요한 약속: '연결'(이유: 내 미래를 위한 기반을 다져놓고 싶다)
새롭게 깨달은 점: '내 적성에 대해 바르게 찾는 게 중요하겠다'
다짐 5글자: '내 꼭 찾을래'</t>
        </is>
      </c>
      <c r="E5" s="5" t="inlineStr">
        <is>
          <t>자신감·가족과의 대화 문항은 낮게 응답했지만, 자유서술·다짐 등은 목표 지향적으로 성실하게 작성함 — 이후 차시들의 높은 완성도와 대비되는 시작점</t>
        </is>
      </c>
      <c r="F5" s="5" t="inlineStr">
        <is>
          <t>진진가 퀴즈 정답 미기재</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합산(비중 40~60%), 졸업 총 192학점, 2학년 때부터 (진로)에 맞게 과목 선택, 1학기 여름방학 전까지 희망 계열 정하기 권장
세특 핵심: 세부능력 및 특기사항, 학생 태도는 '세특·수행평가·수업집중'
창체 영역: 자율활동/동아리활동/행동특성 및 종합의견까지 모두 정확히 기재
2028수능 공통과목화, 정시에도 내신·생기부 반영 대학 증가까지 기재</t>
        </is>
      </c>
      <c r="E6" s="5" t="inlineStr">
        <is>
          <t>빈칸학습을 대부분 정확하고 성실하게 채움</t>
        </is>
      </c>
      <c r="F6" s="5" t="inlineStr">
        <is>
          <t>'역전'·'주도성' 개념 문항,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동점자 질문 답: 전원 2등급 / 대학이 깊게 보는 항목: 과목별 세부능력 및 특기사항(세특) / NEIS 질문 답: 다음 연도
1차 정기고사 목표점수: 국어90·수학95·영어95·한국사100·통합사회90·통합과학90 — 전 과목 매우 높은 목표 설정
4/10~4/20 학습 계획표: 국어·수학·영어·한국사·통합사회·통합과학 전 과목에 걸쳐 교과서 읽기, 단어 암기, 문제풀이, 과목별 진도 마무리까지 촘촘하고 빠짐없이 계획을 세움</t>
        </is>
      </c>
      <c r="E7" s="5" t="inlineStr">
        <is>
          <t>지금까지 정리한 학생 중 3번 문항과 학습계획표를 가장 완성도 높게(전 과목 균형있게) 작성한 사례</t>
        </is>
      </c>
      <c r="F7" s="5" t="inlineStr">
        <is>
          <t>-</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①도덕성(임마누엘 칸트/의약품인허가 전문가·교사·판사) ②끈기(세종대왕/반려동물 행동교정 전문가·훈련사·사육사) ③적극성(김만덕/항공우주공학자·사회단체 관련직)
핵심 강점 '끈기' 선택, 강화 방안: '상대의 입장에서 생각하는 연습하기'
MIT 전공흥미검사: 1순위 초·중등교육(추천 초·중등교육 / 교장·평생교육사 등 / 국어·영어·사회·수학·과학교육과), 2순위 유아·특수교육(추천 유아·특수교육 / 유치원교사·특수교사 / 아동교육학과·특수교육학과), 3순위 복지·상담(추천 식품·조리 / 상담사·임상심리사 / 식품영양학과·조리과학과)
희망전공-추천전공 일치여부 서술: '1·2순위는 같았으나 3순위는 달랐다. 평소 희망진로를 교육계열로 생각해 복지·상담을 선택했지만, 흥미가 음식·조리 쪽이라 식품·조리가 3순위로 나온 것 같다'고 구체적으로 분석함
선호 직무유형: 돌봄형 / 중요 직업가치 1~3순위: 안정성 &gt; 경제적 풍족 &gt; 사회봉사</t>
        </is>
      </c>
      <c r="E8" s="5" t="inlineStr">
        <is>
          <t>강점·전공흥미검사 결과가 모두 '교육' 계열로 수렴하며, 희망-추천 전공 불일치 이유를 본인의 흥미(조리)까지 연결해 논리적으로 설명함</t>
        </is>
      </c>
      <c r="F8" s="5" t="inlineStr">
        <is>
          <t>-</t>
        </is>
      </c>
    </row>
    <row r="9" ht="110" customHeight="1">
      <c r="A9" s="4" t="inlineStr">
        <is>
          <t>1-5</t>
        </is>
      </c>
      <c r="B9" s="5" t="inlineStr">
        <is>
          <t>최고 관심 직업 선정하기</t>
        </is>
      </c>
      <c r="C9" s="5" t="inlineStr">
        <is>
          <t>4~5차시 활동을 종합해 관심 직업 4개(초등교사·동물조련사·유치원교사·중고등수학교사) 정보 정리 후 토너먼트로 최종 관심직업 선정</t>
        </is>
      </c>
      <c r="D9" s="5" t="inlineStr">
        <is>
          <t>초등교사: 초등 전 교과목을 가르치며 학교 교육계획과 수업 일정을 고려해 학습 안을 작성 / 초등교육과
동물조련사: 동물의 건강·언어·훈련·행동연구 등 전반을 관리 / 애완동물학과
유치원교사: 5세~초등 입학 전 아이들에게 올바른 생활습관과 안전생활을 교육 / 유아교육과
중·고등수학교사: 중·고등학생에게 수학을 가르침 / 수학교육과
토너먼트 최종 선택: 초등교사 (선택 이유: 아이들에게 올바른 삶의 방향을 지도하고 싶어서 / 수학교사 포기 이유: 머리가 다 큰 중·고등학생을 대하는 것이 부담스러울 것 같아서)
2단계 선택이유: 초등교사-아이들을 가르치는 일을 좋아해서 / 수학교사-수학에 대해 더 알아보고 싶어서</t>
        </is>
      </c>
      <c r="E9" s="5" t="inlineStr">
        <is>
          <t>1차 관심 직업으로 '초등교사'가 최종 확정되며, 1-4·1-7차시와 방향이 일관됨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초등교사
본인 예측: 대체될 것 같은 일-교과자료 준비 / 협업할 것 같은 일-없음(X) / 절대 대체 불가-학생과 어울리고 지도하는 것
AI 실습 결과: 대체가능-학습자료 제작, 채점 및 학습분석, 반복적인 행정업무 / 협업-맞춤형 학습지도, 수업설계, 학생상담 지원 / 절대 불가-학생과의 신뢰관계 형성, 학급운영과 갈등중재, 인성교육과 가치관 형성
예측 비교: 'AI 예측과 내 예측이 비슷했다'에 체크, 달랐던 점: '맞춤형 학습지도 및 학생상담 지원 부분에서 AI와 협업할 수 있을 줄 몰랐다'
나만의 강점: 학생과의 교감
미래 명함 슬로건: 'AI가 [예측]하는 동안, 나는 [교감]한다(초등교사)', 업그레이드 명함: '학생 맞춤형으로 같이 성장하는 교사 초등파 박주빈'
모둠토론(박주빈-초등교사, 김태영-국회의원, 오정영-사업가, 이영인-요리사): 본인 항목에 '인간과의 교감' 기재
모둠 공통결론: 'AI가 절대 못하는 건 감정과 가치를 함유하는 일이다'</t>
        </is>
      </c>
      <c r="E10" s="5" t="inlineStr">
        <is>
          <t>미래 명함까지 문구를 구체적으로 완성한(업그레이드 명함 포함) 몇 안 되는 사례</t>
        </is>
      </c>
      <c r="F10" s="5" t="inlineStr">
        <is>
          <t>-</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초등교육학과 / 관심 대학: 경인교대
학과 개요: 아동의 심리적 특성을 파악하고 국어·수학·미술 등 다양한 교과에 대한 이론적 기틀을 바탕으로 교육현장에서 교사로 활약하는 방법을 공부한다고 서술
적성·흥미 연결: '누군가에게 알려주는 일을 좋아한다'
고교 관련 과목: 생활과 윤리, 화법과 작문, 수학Ⅰ·Ⅱ, 영어Ⅰ·Ⅱ
대학 주요 교과목: 초등교과과정, 아동발달과 교육, 초등교육론, 학교폭력 예방의 이론과 실제
취득 가능 자격증: 초등학교 2급 정교사, 방과후아동지도사, 놀이치료사, 아동지도사, 상담심리사
졸업 후 진출분야: 국·공·사립 초등학교, 출판사, EBS미래교육연구소
지금부터 노력할 것: 내신과 생기부(세부능력 및 특기사항) 쌓기를 열심히 하겠다고 다짐</t>
        </is>
      </c>
      <c r="E11" s="5" t="inlineStr">
        <is>
          <t>모든 항목을 매우 구체적이고 성실하게 작성함 — 지금까지 정리한 학생 중 1-7차시 완성도가 가장 높은 사례</t>
        </is>
      </c>
      <c r="F11" s="5" t="inlineStr">
        <is>
          <t>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학생부교과70%+교과관련영역 서류종합평가30%)
학생부종합 'Do Dream'(9명, 서류종합평가100%→면접40%+1단계성적60%)
논술(5명, 학생부30%(교과20%+출결10%)+논술70%)
정시 수능 나군(9명, 일괄 수능80%+학생부평가20%)
반영교과: 국·수·영·사·과(공통과목 등 제외) 반영으로 직접 기재
전형 적합도 대비 준비도 별점을 학생부교과·학생부종합·논술·실기실적·정시 5개 항목 모두에 실제로 칠해 자기평가함 (학생부교과 3개, 학생부종합 2개, 논술 2개, 실기실적·정시 각 1개)
2단계에서 '학생부교과' 전형을 도전 1순위로 체크함</t>
        </is>
      </c>
      <c r="E12" s="5" t="inlineStr">
        <is>
          <t>반영교과 표와 전형 적합도 자가진단(별점)을 실제로 작성하고, 2단계 도전 전형까지 체크한 몇 안 되는 학생</t>
        </is>
      </c>
      <c r="F12" s="5" t="inlineStr">
        <is>
          <t>2단계 도전 전형의 대학·모집단위·계열·선택 이유는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교육학과
학업역량: 1순위 A(이유: 교육 관련 사회과목을 많이 수강하고 내신이 높을수록 학업역량이 높다고 판단), 2순위 B, 3순위 C
진로역량: 1순위 B(이유: 교육 관련 논술을 직접 하고 교육에 대한 분석·탐구를 진행함), 2순위 C, 3순위 A
공동체역량: 1순위 B(수정 흔적, 이유: 사회 이슈에 대해 의견을 존중하고 발표 활동이 많을수록 공동체역량이 높다고 판단), 2순위 A, 3순위 표기 다소 불명확
예상결과: B-A-C / 실제결과: A-B-C (불일치)
느낀 점: '독서 열심히 해야겠다' / 배운 점: '생기부에 적힐 만한 활동을 열심히 준비해야겠다'</t>
        </is>
      </c>
      <c r="E13" s="5" t="inlineStr">
        <is>
          <t>-</t>
        </is>
      </c>
      <c r="F13" s="5" t="inlineStr">
        <is>
          <t>공동체역량 3순위 표기 불명확</t>
        </is>
      </c>
    </row>
    <row r="14" ht="252"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(with 나현수 10107)
트랙 선택 이유: 좋은 교사가 되고 싶어 아이들을 올바른 길로 인도하는 교육 방식에 대해 탐구해보고 싶어서
탐구 유형: 체크 안 함
관심 분야: 교육, 심리, 철학
그렇게 생각한 이유: 교육에 관심이 있으며, 아이들이 성장하는 과정에서 교사의 역할이 중요하다고 생각하기 때문
잠정 탐구 주제: 칭찬은 항상 좋은 교육일까?
주제 선택 이유: 평소 교육 관련 진로를 희망하며 '좋은 교육이란 무엇인가'라는 생각을 하던 도중 문득 '칭찬이 항상 좋은 효과만 가질까?'라는 호기심이 생기게 되었고 이 주제에 대해 탐구해 보고 싶어졌기 때문
8차시 계획: 2 자료 수집 → 3 분석 → 4 정리 → 5 PPT 작성 및 대본 작성① → 6 PPT 작성 및 대본 작성② → 7 모의 발표
한 줄 다짐: 8차시 동안 평소 궁금했던 의문을 해소하겠다 / 자가 점검 3개 모두 체크</t>
        </is>
      </c>
      <c r="E14" s="5" t="inlineStr">
        <is>
          <t>짝 나현수와 같은 주제·같은 관심 분야(교육·심리·철학)로 공동 설계. 초등교사 진로가 1학기부터 일관됨</t>
        </is>
      </c>
      <c r="F14" s="5" t="inlineStr">
        <is>
          <t>탐구 유형 체크 누락</t>
        </is>
      </c>
    </row>
    <row r="15" ht="140"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나현수 10107)
핵심 탐구 질문: 칭찬은 아이들에게 항상 좋은 영향을 미칠까?
하위 질문① 결과를 칭찬 vs 과정을 칭찬
하위 질문② 과하거나 잘못된 칭찬이 아이에게 어떤 부정적인 영향을 미칠까?
하위 질문③ 칭찬은 어떻게 하면 좋을까?
활용할 자료원: 논문, 인터넷, 제미나이, 클로드, 챗GPT, 마누스 AI, 그록</t>
        </is>
      </c>
      <c r="E15" s="5" t="inlineStr">
        <is>
          <t>1학기 희망 진로(초등교사·초등교육학과)와 연결되는 아동 교육 주제로, 짝 나현수(10107)와 공동 주제. 하위 질문①이 질문 형태가 아닌 키워드로만 적혀 있음</t>
        </is>
      </c>
      <c r="F15" s="5" t="inlineStr">
        <is>
          <t>이름 옆 교사 표기(빨간 글씨) 있음 — 원본 확인</t>
        </is>
      </c>
    </row>
    <row r="16" ht="220"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2개
· ① 「유아교사의 칭찬유형의 분류 및 적절성 탐색」(강현경, DBpia, 저자명 판독 추정): 요약 칸은 비어 있음
· ② 〈약이 되는 칭찬, 독이 되는 칭찬〉 동아사이언스 민혜영 칼럼: 타고난 능력보다 노력·구체적 행동을 칭찬해야 자존감을 지킬 수 있고, 능력 칭찬은 학습 동기 저하 등 부정적 영향(화살표로 표시)
· 자료 ③~⑤, 나의 생각/메모는 비어 있음</t>
        </is>
      </c>
      <c r="E16" s="5" t="inlineStr">
        <is>
          <t>짝 나현수와 같은 칼럼을 찾았고, 학술 논문까지 한 편 찾은 점은 좋음. 논문 요약과 추가 자료가 비어 있어 다음 차시에 보완 필요.</t>
        </is>
      </c>
      <c r="F16" s="5" t="inlineStr">
        <is>
          <t>자료 ① 요약, 자료 ③~⑤, 나의 생각/메모 미기재</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10112 변선재)</t>
        </is>
      </c>
    </row>
    <row r="2">
      <c r="A2" s="2" t="inlineStr">
        <is>
          <t>※ 활동지 스캔본(PDF)을 바탕으로 정리. 이번 스캔본에는 1-7차시(희망 학과 탐색하기)가 포함되어 있지 않음.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'MBTI는 ISFP'
자기소개: 해외에서 살아본 적이 있다, 특기(관악/오케스트라 관련으로 추정), 반려동물이 있다(문구 일부 판독 어려움)
진로탐색 태도: '자신있게 말할 수 있다'는 '매우 그렇지 않다'(최저), '열심히 노력한다'·'가족과 구체적으로 이야기 나눈다'·'공부 필요성을 알고 노력한다'는 모두 '그렇다', 상담 경험은 '그렇지 않다'
상담 상대: 부모나 친척 / 진로결정 중요 기준: 나의 소질과 적성 / 정보탐색: 인터넷 검색
노력: 다양한 진로 체험 활동 수행 / 어려운 점: 나의 특성(흥미·적성·가치관·성격 등)을 몰라서
약속: '적극' 체크, 이유·새롭게 깨달은 점·다짐 5글자는 모두 공란</t>
        </is>
      </c>
      <c r="E5" s="5" t="inlineStr">
        <is>
          <t>자신감 문항만 최저로 응답했을 뿐, 가족과의 대화·노력 정도 등 나머지 문항은 긍정적으로 응답함</t>
        </is>
      </c>
      <c r="F5" s="5" t="inlineStr">
        <is>
          <t>약속 이유, 새롭게 깨달은 점, 다짐 5글자 모두 미기재</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학번·이름도 이 페이지에는 미기재)
빈칸학습 답안: 핵심전형-학생부교과전형(내신위주)/학생부종합전형(내신+생기부), 수능 최저학력기준 존재 가능
내신 5등급제, 1등급 상위10%, 지필+수행평가 합산(비중 40~60%), 졸업 총 192학점, 2학년 때부터 (진로)에 맞게 과목 선택, 1학년 여름방학까지 희망 계열 정하기 권장
세특 핵심: 세부능력 및 특기사항, 학생 태도는 '성실히 적극적으로 참여'
창체 영역: 자율활동/동아리활동/행동특성 및 종합의견까지 모두 정확히 기재
2028수능 공통과목화, '역전'·'주도성' 개념까지 모두 정확히 기재</t>
        </is>
      </c>
      <c r="E6" s="5" t="inlineStr">
        <is>
          <t>이 빈칸학습은 거의 완벽하게 채워짐</t>
        </is>
      </c>
      <c r="F6" s="5" t="inlineStr">
        <is>
          <t>느낀점/다짐 서술형 문항만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동점자 질문 답: 전원 2등급 / 대학이 깊게 보는 항목: 과목별 세부능력 및 특기사항(세특) / NEIS 질문은 미기재
1차 정기고사 목표점수: 국어 100점만 기재, 나머지 과목은 공란
4/10~4/20 학습 계획표: 국어 과목은 지문·배경지식·단어정리 등을 구체적으로 계획했고, 수학·한국사·통합과학 등 다른 과목은 세부 계획 대신 체크(√) 표시만 되어 있음</t>
        </is>
      </c>
      <c r="E7" s="5" t="inlineStr">
        <is>
          <t>국어 과목만 구체적인 계획을 세우고 나머지 과목은 '했음' 표시만 남긴 것으로 보여, 실제 학습 내용을 확인해볼 필요가 있음</t>
        </is>
      </c>
      <c r="F7" s="5" t="inlineStr">
        <is>
          <t>NEIS 질문 미기재, 목표점수 표 대부분 공란</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①호기심(아인슈타인/로봇공학자) ②개방성(피카소/융합형 디자이너) ③근면성(프랭클린·루스벨트/탐험 관련직)
핵심 강점 '호기심' 선택, 강화 방안: '관심 주제로 학기별 실험하기'
MIT 전공흥미검사: 1순위 희망전공 천문·지구(추천 기계·조선·항공 / 항공공학기술자 / 항공우주공학과), 2순위 희망전공 주거(인테리어)·의류(추천 건축·토목 / 건축가 / 건축(공)학과), 3순위 희망전공 건기·의류(추천 건기·전자·컴퓨터 / 반도체공정기술자 / 전기·전자공학과)
희망전공-추천전공 일치 여부 서술: '일치함'
선호 직무유형: 아이디어형 / 중요 직업가치 1~3순위: 창의성 &gt; 경제적 풍족 &gt; 안정성</t>
        </is>
      </c>
      <c r="E8" s="5" t="inlineStr">
        <is>
          <t>강점검사(호기심)와 전공흥미검사가 모두 '항공우주·공학' 계열로 수렴하며, 1-5·1-6차시와 방향이 이어짐</t>
        </is>
      </c>
      <c r="F8" s="5" t="inlineStr">
        <is>
          <t>-</t>
        </is>
      </c>
    </row>
    <row r="9" ht="110" customHeight="1">
      <c r="A9" s="4" t="inlineStr">
        <is>
          <t>1-5</t>
        </is>
      </c>
      <c r="B9" s="5" t="inlineStr">
        <is>
          <t>최고 관심 직업 선정하기</t>
        </is>
      </c>
      <c r="C9" s="5" t="inlineStr">
        <is>
          <t>4~5차시 활동을 종합해 관심 직업 4개(건축공학기술자·항공우주공학기술자·기계공학기술자·토목공학기술자) 정보 정리 후 토너먼트로 최종 관심직업 선정</t>
        </is>
      </c>
      <c r="D9" s="5" t="inlineStr">
        <is>
          <t>건축공학기술자: 건축 관련 건물 관리·설계 업무 담당 / 건축공학과
항공우주공학기술자: 비행기·드론·위성 등의 연구 및 비행체 관련 개발 / 우주공학과·항공우주공학과
기계공학기술자: 생산공정과 기계 설계·개발·관리 업무 / 기계공학과·로봇공학과
토목공학기술자: 도로·철도·댐·터널 등 토목 건설 진행 및 감독 / 토목공학과·건설공학과
토너먼트 최종 선택: 항공우주공학기술자 (선택 이유: 우주에 관심이 많고 우주 개척에 흥미를 느껴 이 분야를 택함 / 기계공학기술자 포기 이유: 특정 자격을 얻기가 쉽지 않을 것 같아서)
2단계 선택이유: 항공우주공학기술자-우주에 대한 관심이 더 커서 / 기계공학기술자-설계·시설에 관심이 있어서</t>
        </is>
      </c>
      <c r="E9" s="5" t="inlineStr">
        <is>
          <t>1차 관심 직업으로 '항공우주공학기술자'가 최종 확정됨 — 1-4차시부터 이어진 흥미와 일관됨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항공우주공학기술자
본인 예측: 대체될 것 같은 일-프로그램 코딩 / 협업할 것 같은 일-도면 설계 / 절대 대체 불가-인공위성 궤도 계산(관련)
AI 실습 결과: 대체가능-데이터 분석 및 모니터링 / 협업-부품 설계 시뮬레이션, 불규칙 노드 분석 / 절대 불가-법적·윤리적 검토, 새로운 개념 체계화, 실제 발사 시의 변수 대응
예측 비교: 'AI가 내 예상보다 더 많이 대체할 수 있었다'에 체크 — 예상보다 AI의 대체 가능 범위가 넓다고 인식함
나만의 강점: 새로운 개념 기획
미래 명함 슬로건: 'AI가 [분석]하는 동안, 나는 [기획]한다'
모둠토론(김재성-기계공학기술자, 변선재-항공우주공학기술자 외): 본인 항목에 '새로운 개발 계획' 기재</t>
        </is>
      </c>
      <c r="E10" s="5" t="inlineStr">
        <is>
          <t>'AI가 예상보다 더 많이 대체할 수 있었다'를 선택한 흔치 않은 사례 — AI의 영향력을 다소 크게 평가하는 시각이 드러남</t>
        </is>
      </c>
      <c r="F10" s="5" t="inlineStr">
        <is>
          <t>모둠 공통결론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이번 스캔본에는 1-7차시 활동지가 포함되어 있지 않아 정리할 내용이 없음</t>
        </is>
      </c>
      <c r="E11" s="5" t="inlineStr">
        <is>
          <t>1-4·1-5·1-6차시의 흐름(항공우주 계열)을 볼 때 항공우주공학과 관련 학과를 탐색했을 가능성이 높음</t>
        </is>
      </c>
      <c r="F11" s="5" t="inlineStr">
        <is>
          <t>1-7차시 스캔본 누락 — 추후 확보 시 추가 정리 필요</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일괄 학생부교과70%+교과관련영역 서류종합평가30%)
학생부종합 'Do Dream'(9명, 1단계 서류종합평가100%→2단계 면접40%+1단계성적60%)
논술(5명, 일괄 학생부30%(교과20%+출결10%)+논술70%, 수능최저 적용)
정시 수능 나군(9명, 일괄 수능80%+학생부평가20%)
반영교과: 학생부교과-국어·수학·영어·사회·과학 중 공통과목 등 제외, 논술-국어·수학·영어·사회 과목 중으로 직접 기재</t>
        </is>
      </c>
      <c r="E12" s="5" t="inlineStr">
        <is>
          <t>반영교과 표를 구체적으로 채운 몇 안 되는 학생 중 하나</t>
        </is>
      </c>
      <c r="F12" s="5" t="inlineStr">
        <is>
          <t>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컴퓨터공학과
학업역량: 1순위 C(이유: 등급을 기준으로 각 과목 계열 대비 등급으로 판단함), 2순위 A, 3순위 B
진로역량: 1순위 A(이유: 여러 학교·비교 사례에서 진로와 더 관련이 깊다고 판단함), 2순위 C, 3순위 B
공동체역량: 1순위 A(이유: 동료들과도 원활하게 협력을 보여줌, 일부 수정 흔적 있음), 2·3순위 표기 다소 불명확
예상결과: B-C-A / 실제결과: C-A(수정)-B
느낀 점: '사례를 비교하면서 다른 사람과의 순위가 많이 차이 나는 것을 볼 수 있었다'
배운 점: '과목 선정, 활동들에서 여러 가지로 실천, 열심히 노력한다는 것을 배웠다'</t>
        </is>
      </c>
      <c r="E13" s="5" t="inlineStr">
        <is>
          <t>-</t>
        </is>
      </c>
      <c r="F13" s="5" t="inlineStr">
        <is>
          <t>공동체역량 2·3순위 표기 불명확</t>
        </is>
      </c>
    </row>
    <row r="14" ht="322"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주제탐구
트랙 선택 이유: 평소에 우주와 로봇 같은 기계 공학에도 관심이 많다. 주제를 정하고 자료를 찾아 관심 분야를 더 자세히 알아보고 발표로 연습하기 위해 주제탐구 트랙을 선택함(글씨가 작아 일부 추정)
탐구 유형: ② 관심사 탐구형
관심 분야(판독 어려움): ①우리은하의 구조·형태 ②은하·우주 구조의 비밀 ③로봇·기계 기술의 발전(모두 추정)
그렇게 생각한 이유: 어릴 때부터 우리은하를 보며 우리은하는 어떤 구조로 되어 있을까 궁금해했다(추정)
잠정 탐구 주제: 과학 기술 발전에 따라 밝혀지는 우리은하의 비밀
주제 선택 이유: 최근 우리은하에 대한 새로운 사실이 밝혀지고 있는데 아직 밝혀지지 않은 부분이 많아, 그동안 밝혀진 사실이 어떤 과정을 통해 밝혀졌는지 궁금함
8차시 계획(활동 → 산출물): 2 탐구 주제 및 방법 정리 → 계획서 / 3 1차 자료 수집 → 1차 자료 정리 / 4 2차 자료 수집 → 2차 자료 정리 / 5 자료 분석 → 자료 분석지 / 6 발표 제작 → 발표 자료 / 7 발표 내용 정리 → 최종 발표 자료
한 줄 다짐: 우리은하에 대해 자료를 정리하여 발표로 잘 마무리하겠다(추정) / 자가 점검 2개 체크</t>
        </is>
      </c>
      <c r="E14" s="5" t="inlineStr">
        <is>
          <t>'관심사 탐구형'으로 진로와 별개인 천문 주제를 선택했다고 스스로 구분함. 8차시 계획에 차시별 산출물까지 적은 유일한 학생 중 하나로 계획 완성도가 높음</t>
        </is>
      </c>
      <c r="F14" s="5" t="inlineStr">
        <is>
          <t>글씨가 작고 흐려 관심 분야·다짐 등 일부 판독 어려움(원본 확인 권장)</t>
        </is>
      </c>
    </row>
    <row r="15" ht="140" customHeight="1">
      <c r="A15" s="4" t="inlineStr">
        <is>
          <t>P-2</t>
        </is>
      </c>
      <c r="B15" s="5" t="inlineStr">
        <is>
          <t>[개별프로젝트 2차시·주제탐구] 탐구 방법 안내 &amp; 탐구계획서</t>
        </is>
      </c>
      <c r="C15" s="5" t="inlineStr">
        <is>
          <t>탐구 질문을 구체화하고 자료 수집 방법과 일정을 계획함(통계·뉴스·논문·기관 사이트 등 자료원 안내 → 핵심 질문+하위 질문 3개 작성 → 활용할 자료원 정리)</t>
        </is>
      </c>
      <c r="D15" s="5" t="inlineStr">
        <is>
          <t>선택 트랙: 주제탐구 (함께한 친구: 미기재)
핵심 탐구 질문: 우리은하는 어떤 과정을 거쳐 지금의 모습이 되었을까?
하위 질문① 우리은하를 어떤 방법으로 관측하는가
하위 질문② 우리은하는 어떤 과정을 거쳐 형성되었는가?
하위 질문③ 현재 우리은하에 대한 어떤 사실들이 밝혀졌는가
활용할 자료원: 사이언스타임즈(기사)로 추정, 논문 등</t>
        </is>
      </c>
      <c r="E15" s="5" t="inlineStr">
        <is>
          <t>1학기 관심 직업(건축·항공우주·기계·토목 공학기술자) 중 항공우주 분야와 느슨하게 연결되는 천문 주제를 선택함. 필체가 작고 흐려 일부 단어는 문맥으로 판독함</t>
        </is>
      </c>
      <c r="F15" s="5" t="inlineStr">
        <is>
          <t>자료원 첫 항목 판독 다소 어려움(원본 확인 필요)</t>
        </is>
      </c>
    </row>
    <row r="16" ht="157" customHeight="1">
      <c r="A16" s="4" t="inlineStr">
        <is>
          <t>P-3</t>
        </is>
      </c>
      <c r="B16" s="5" t="inlineStr">
        <is>
          <t>[개별프로젝트 3차시·주제탐구] 자료 수집</t>
        </is>
      </c>
      <c r="C16" s="5" t="inlineStr">
        <is>
          <t>탐구 질문에 필요한 자료를 기사·논문·도서 등에서 5~10개 조사, 자료 출처를 명확히 기록하고 핵심 내용을 나의 언어로 요약, 나의 생각/메모 작성</t>
        </is>
      </c>
      <c r="D16" s="5" t="inlineStr">
        <is>
          <t>[주제탐구] 자료 1개
· ① NASA(미국항공우주국): '우리 은하의 기본 구조와 특징 — 은하 종류, 크기, 형성 과정'(단어 나열)
· 자료 ②~⑤, 나의 생각/메모는 비어 있음</t>
        </is>
      </c>
      <c r="E16" s="5" t="inlineStr">
        <is>
          <t>1차시에 차시별 산출물까지 적을 만큼 계획을 잘 세웠던 학생인데, 이번엔 자료 1개를 단어로만 적음. 계획 대비 실행이 늦어지고 있어 확인 필요.</t>
        </is>
      </c>
      <c r="F16" s="5" t="inlineStr">
        <is>
          <t>자료 ②~⑤, 나의 생각/메모 미기재 / 자료 ① 요약이 단어 나열</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10114 성유현)</t>
        </is>
      </c>
    </row>
    <row r="2">
      <c r="A2" s="2" t="inlineStr">
        <is>
          <t>※ 이번에 받은 스캔본은 1-4차시(자기 이해 검사 종합하기) 한 장뿐입니다. 1-1, 1-2/3, 1-5~1-8차시 스캔본은 아직 없어 해당 차시는 표에 포함하지 않았습니다. 추후 스캔본을 받으면 이어서 정리하겠습니다. P-3 활동지 묶음에도 이 학생의 활동지가 없었음(결석·미제출 확인 필요).</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1-4</t>
        </is>
      </c>
      <c r="B5" s="5" t="inlineStr">
        <is>
          <t>자기 이해 검사 종합하기</t>
        </is>
      </c>
      <c r="C5" s="5" t="inlineStr">
        <is>
          <t>POWER UP 강점진로검사, MIT 전공흥미검사 결과 정리, 핵심 강점 강화 방안 모색, 선호 직무유형·직업가치 파악</t>
        </is>
      </c>
      <c r="D5" s="5" t="inlineStr">
        <is>
          <t>강점진로검사 1~3순위: ①이타심(이태석/노년플래너·간호사·성직자·특수학교 교사) ②공감(마더 테레사/동물매개 심리치료사·상담전문가·피해자심리 전문요원) ③도덕성(임마누엘 칸트/의약품인허가 전문가·초중고 교사·판사)
핵심 강점 칸에는 목록의 3개 강점 대신 '끈기'를 자유롭게 적음, 강화 방안은 미기재
MIT 전공흥미검사: 1순위 희망전공 음악(추천 국어국문학 / 출판기획자·소설가·영화시나리오작가 / 국어국문학과·한국어학과), 2순위 희망전공 국어국문학(추천 음악 / 연주가·지휘자·작곡가·가수·성악가 / 작곡과·음악학과·실용음악학과), 3순위 희망전공 경영·경제(추천 의료 / 일반의사·한의사·치과의사 / 수의학과·의예과·치의예과·한의예과)
※ 1·2순위의 희망전공과 추천전공이 서로 뒤바뀐 형태(음악↔국어국문학)로 나와, 두 분야 모두에 흥미가 있는 것으로 보임
희망전공-추천전공 일치 여부 서술: 미기재
선호 직무유형: 아이디어형 / 중요 직업가치 1~3순위: 경제적 풍족 &gt; 사회적 인정 &gt; 안정성</t>
        </is>
      </c>
      <c r="E5" s="5" t="inlineStr">
        <is>
          <t>희망전공 1·2순위(음악, 국어국문학)와 추천전공 1·2순위가 서로 자리만 바뀌어 나온 점이 흥미로움 — 두 분야에 비슷한 정도로 흥미가 있는 것으로 보이며, 3순위(경영·경제 희망 vs 의료 추천)는 큰 차이를 보임</t>
        </is>
      </c>
      <c r="F5" s="5" t="inlineStr">
        <is>
          <t>강점 강화 방안, 희망-추천 전공 일치 여부 서술 미기재</t>
        </is>
      </c>
    </row>
    <row r="6" ht="160" customHeight="1">
      <c r="A6" s="4" t="inlineStr">
        <is>
          <t>2-2</t>
        </is>
      </c>
      <c r="B6" s="5" t="inlineStr">
        <is>
          <t>나도 입학사정관</t>
        </is>
      </c>
      <c r="C6" s="5" t="inlineStr">
        <is>
          <t>서울대 아로리 합격생 학생부 정성평가(학업·진로·공동체역량) 및 조별 토의</t>
        </is>
      </c>
      <c r="D6" s="5" t="inlineStr">
        <is>
          <t>평가사례: 2025년 / 선택학과: 컴퓨터공학부
학업역량: 1순위 B, 2순위 A, 3순위 C — 이유란에 참고자료의 평가 기준 질문('교과 및 학업 활동 내용에서 우수한 학업 성취가 고르게 나타나는가?')을 그대로 옮겨 적음
진로역량: 1순위 C, 2순위 B, 3순위 A — 마찬가지로 참고자료 질문('자신의 성취를 점검하고 더 필요한 공부가 무엇인지 고민한 경험이 있는가?')을 그대로 옮김
공동체역량: 1순위 A, 2순위 C, 3순위 B — 참고자료 질문('노력을 통해 성장한 모습은 어떠한가?')을 그대로 옮김
예상결과: B-C-A / 실제결과: C-A-B (완전 불일치)
느낀 점·배운 점: 미기재</t>
        </is>
      </c>
      <c r="E6" s="5" t="inlineStr">
        <is>
          <t>세 영역 모두 이유란에 실제 학생 사례에 대한 근거 대신 참고자료에 제시된 평가 기준 '질문 문구'를 그대로 옮겨 적음 — 과제 취지(구체적 근거 제시)를 오해했을 가능성이 있어 다음 활동 시 안내가 필요해 보임</t>
        </is>
      </c>
      <c r="F6" s="5" t="inlineStr">
        <is>
          <t>느낀 점·배운 점 미기재</t>
        </is>
      </c>
    </row>
    <row r="7" ht="224" customHeight="1">
      <c r="A7" s="4" t="inlineStr">
        <is>
          <t>P-1</t>
        </is>
      </c>
      <c r="B7" s="5" t="inlineStr">
        <is>
          <t>[개별프로젝트 1차시] 3종 트랙 탐색·선택 및 8차시 개인 계획서</t>
        </is>
      </c>
      <c r="C7" s="5" t="inlineStr">
        <is>
          <t>주제탐구·진로독서·습관형성 3개 트랙의 특징을 비교해 1개를 선택하고, 선택 트랙의 초기 아이디어(관심 분야·잠정 주제·선택 이유)를 구상</t>
        </is>
      </c>
      <c r="D7" s="5" t="inlineStr">
        <is>
          <t>※ 이번 제출분은 2차시 계획서가 아닌 1차시 활동지임
선택 트랙: 주제탐구 (습관형성 칸에도 표시했다가 칠해서 지움)
트랙 선택 이유: 음악을 좋아해서 음악 전술(→'음악 기술/작업'의 뜻으로 보임)을 탐구해보고 싶어서 주제탐구 트랙을 선택함
탐구 유형: 체크 안 함
관심 있는 진로·분야 3가지: 작곡가, 작사가, 싱어송라이터
그렇게 생각한 이유: 나만의 생각과 감정을 가사로 표현하는 것이 재미있을 것 같아서
잠정 탐구 주제: 음악을 만드는 사람들의 역할과 특(징) — 오른쪽 끝이 스캔에서 잘림
이 주제를 선택한 이유: 내가 만든 멜로디로 새로운 음악을 만들어 보고 싶어서</t>
        </is>
      </c>
      <c r="E7" s="5" t="inlineStr">
        <is>
          <t>1학기 1-4의 희망전공 1순위(음악)와 일관된 음악 창작 분야를 선택함. 트랙 선택 이유 문장이 예시 문구('축구를 좋아해서 축구 전술을 탐구')의 형식을 그대로 따라 쓴 것으로 보임</t>
        </is>
      </c>
      <c r="F7" s="5" t="inlineStr">
        <is>
          <t>2차시 탐구계획서 미제출(이번 스캔본에 없음), 탐구 유형 체크 누락, 잠정 주제 끝부분 스캔 잘림</t>
        </is>
      </c>
    </row>
    <row r="8" ht="30" customHeight="1"/>
    <row r="9" ht="160" customHeight="1"/>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10115 양예진)</t>
        </is>
      </c>
    </row>
    <row r="2">
      <c r="A2" s="2" t="inlineStr">
        <is>
          <t>※ 이번에 받은 스캔본은 1-1차시(진로수업 OT)와 1-5차시(최고 관심 직업 선정하기) 두 장뿐입니다. 1-2/3, 1-4, 1-6~1-8차시 스캔본은 아직 없어 표에 포함하지 않았습니다. 1-1·1-5차시 모두 필체가 흐려 판독이 어려운 부분이 많아 원본 확인을 권장합니다.</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②
자기소개 3문항: 필체가 흐려 판독이 매우 어려움(원본 확인 필요) — 공연 관련 취미, 댄스·체력 관련 문구로 추정
진로탐색 태도: '자신있게 말할 수 있다'·'가족과 구체적으로 이야기 나눈다'는 '보통이다', '열심히 노력한다'·'공부 필요성을 알고 노력한다'는 '그렇다', 상담 경험은 '그렇지 않다'
상담 상대: 부모나 친척 / 진로결정 중요 기준: 학업 성적
정보탐색: 인터넷 검색, 진로 상담(복수 응답) / 노력: 틈틈이 진로에 대한 정보를 수집
어려운 점: 생각하는 진로가 너무 많아 선택하기 어려워서
자유 서술(하고 싶은 진로 활동): '진로가 비슷한 사람들끼리 모여서 그 진로에 대해 얘기해보면 어떨까요?'라는 활동 아이디어를 제안함
가장 중요한 약속: '존중'(이유: 친구의 꿈을 존중하는 게 맞는 태도이니까, 다 같이 사이좋게 지내고 싶어서)
새롭게 깨달은 점: '체험을 좀 해봐야겠다'
다짐 5글자: 필체 판독이 어려워 정확한 문구 확인 필요(원본 확인 권장)</t>
        </is>
      </c>
      <c r="E5" s="5" t="inlineStr">
        <is>
          <t>진로결정이 어려운 이유로 '생각하는 진로가 너무 많음'을 꼽음 — 관심 분야는 많지만 아직 하나로 좁히지 못한 상태로 보임. 수업 방식에 대한 아이디어(비슷한 진로끼리 모여 이야기)를 스스로 제안한 점이 눈에 띔</t>
        </is>
      </c>
      <c r="F5" s="5" t="inlineStr">
        <is>
          <t>자기소개 3문항, 다짐 5글자 판독 어려움</t>
        </is>
      </c>
    </row>
    <row r="6" ht="110" customHeight="1">
      <c r="A6" s="4" t="inlineStr">
        <is>
          <t>1-5</t>
        </is>
      </c>
      <c r="B6" s="5" t="inlineStr">
        <is>
          <t>최고 관심 직업 선정하기</t>
        </is>
      </c>
      <c r="C6" s="5" t="inlineStr">
        <is>
          <t>4~5차시 활동을 종합해 관심 있는 직업 정보를 정리하고 토너먼트를 통해 최고 관심 직업을 선정하는 차시</t>
        </is>
      </c>
      <c r="D6" s="5" t="inlineStr">
        <is>
          <t>직업 정보표에 3개 직업명을 적었으나 필체가 흐려 정확한 판독이 어려움 — 공연예술가 계열, 아나운서, 플로리스트로 추정됨
하는 일·필요 능력 항목은 대부분 공란이거나 판독이 어려우며, 관련 학과 칸에 무용과·방송연기연출과·실용음악과·광고연예과 등 공연·미디어 관련 학과들을 나열함(정확한 학과명은 원본 확인 필요)
토너먼트 브래킷은 상단 1개 직업명만 흐릿하게 적혀 있고, 선택이유·포기이유·하위 브랜치·최종 관심직업 표기는 모두 공란</t>
        </is>
      </c>
      <c r="E6" s="5" t="inlineStr">
        <is>
          <t>전체적으로 필체가 흐리고 흐릿해 판독이 매우 어려운 페이지 — 공연·방송·미디어 계열에 관심이 있는 것으로 보이나 정확한 확인을 위해 원본 대조가 필요함</t>
        </is>
      </c>
      <c r="F6" s="5" t="inlineStr">
        <is>
          <t>직업 비교표 대부분 공란/판독 어려움, 토너먼트 선택이유 및 최종 관심직업 명시 없음</t>
        </is>
      </c>
    </row>
    <row r="7" ht="160" customHeight="1">
      <c r="A7" s="4" t="inlineStr">
        <is>
          <t>2-2</t>
        </is>
      </c>
      <c r="B7" s="5" t="inlineStr">
        <is>
          <t>나도 입학사정관</t>
        </is>
      </c>
      <c r="C7" s="5" t="inlineStr">
        <is>
          <t>서울대 아로리 합격생 학생부 정성평가(학업·진로·공동체역량) 및 조별 토의</t>
        </is>
      </c>
      <c r="D7" s="5" t="inlineStr">
        <is>
          <t>평가사례: 2024년 / 선택학과: 판독 어려움(원본 확인 필요)
학업역량: 1순위 A(이유: 내신이 좋고 세부 교과 이수 현황이 좋았음), 2순위 B, 3순위 C(이유: 상대적으로 낮음)
진로역량·공동체역량: 미기재
예상결과·실제결과: 미기재 / 느낀 점·배운 점: 미기재</t>
        </is>
      </c>
      <c r="E7" s="5" t="inlineStr">
        <is>
          <t>학업역량만 작성하고 나머지 항목은 진행하지 못함</t>
        </is>
      </c>
      <c r="F7" s="5" t="inlineStr">
        <is>
          <t>선택 학과명 판독 어려움, 진로·공동체역량 및 결과·느낀점 전체 미기재</t>
        </is>
      </c>
    </row>
    <row r="8" ht="126" customHeight="1">
      <c r="A8" s="4" t="inlineStr">
        <is>
          <t>P-1</t>
        </is>
      </c>
      <c r="B8" s="5" t="inlineStr">
        <is>
          <t>[개별프로젝트 1차시] 3종 트랙 탐색·선택 및 8차시 개인 계획서</t>
        </is>
      </c>
      <c r="C8" s="5" t="inlineStr">
        <is>
          <t>주제탐구·진로독서·습관형성 3개 트랙의 특징을 비교해 1개를 선택하고, 선택 트랙 작성란(A 주제탐구 / B 진로독서 / C 습관형성)에 초기 아이디어를 구상한 뒤 8차시 세부 계획과 한 줄 다짐 작성</t>
        </is>
      </c>
      <c r="D8" s="5" t="inlineStr">
        <is>
          <t>선택 트랙: 습관형성 (트랙 비교표의 진로독서·습관형성 옆에 체크, 습관형성에 동그라미)
트랙 선택 이유: 미기재
[C 습관형성] 닮고 싶은 습관: 체력, 몸 관리하기
습관이 진로에 중요한 이유: 체력과 몸을 건강하게 관리해야 진로를 이루는 데 큰 좋은 영향을 준다 ㅅㅅ
개선하고 싶은 습관: 맵고 짠 음식을 적당히 먹기, 매일 운동 꾸준히 하기(일부 추정)
8차시 계획·한 줄 다짐: 공란</t>
        </is>
      </c>
      <c r="E8" s="5" t="inlineStr">
        <is>
          <t>1차시부터 건강·체력 관리 습관으로 방향을 정했고 2차시 목표로 그대로 이어짐. 진로독서도 잠시 고민한 흔적(체크)이 있음</t>
        </is>
      </c>
      <c r="F8" s="5" t="inlineStr">
        <is>
          <t>트랙 선택 이유, 8차시 계획, 한 줄 다짐 미기재 / 첫 장 왼쪽 위 여백에 낙서</t>
        </is>
      </c>
    </row>
    <row r="9" ht="322" customHeight="1">
      <c r="A9" s="4" t="inlineStr">
        <is>
          <t>P-2</t>
        </is>
      </c>
      <c r="B9" s="5" t="inlineStr">
        <is>
          <t>[개별프로젝트 2차시·습관형성] 나를 돌아보고, 목표 세우기</t>
        </is>
      </c>
      <c r="C9" s="5" t="inlineStr">
        <is>
          <t>원인분석+목표설정: 최근 목표·계획 자기평가 → 실천 장애물과 개선방안 → SMART 기법으로 습관 목표 구체화 → 인증 방법 결정 → 모둠 의견 후 최종 습관 목표</t>
        </is>
      </c>
      <c r="D9" s="5" t="inlineStr">
        <is>
          <t>선택 트랙: 습관형성 (함께한 친구: 채흔희)
최근 목표: 튼튼하고 건강한 몸 만들기 / 계획: 맵고 짠 음식을 적당히 먹기, 운동하기
자기평가: 목표 달성 '보통', 계획 실행 '보통' — 이유: 아직 실천은 안 했지만 나쁘진 않아서(판독 다소 어려움)
장애물 → 개선방안: ①맛있는 음식이 너무 많다(맵고 짠 음식) → 참는다 ②운동을 못 한다 → 꾸준히 연습
SMART 목표: 튼튼하고 건강한 몸 만들기
· S: 건강한 음식을 먹으며 홈트 30분(여러 번 고쳐 씀)
· M: 러닝을 뛰면서 홈트 20분, 몸무게로 측정(수정 흔적 많음)
· A: 맵고 짠 음식은 그만 먹는다, 몸무게 변화 시작
· R: 2kg를 빼겠다
· T: 겨울방학까지
인증 방법: 사진 촬영으로 인증 / 최종 확인 방법: 사진 촬영
최종 습관 목표: 홈트·러닝과 건강한 음식을 먹으며 건강을 챙긴다 (하단 메모: 매일 10분 홈트 / 20분 러닝, with 10120)</t>
        </is>
      </c>
      <c r="E9" s="5" t="inlineStr">
        <is>
          <t>식습관·운동 중심의 건강 습관을 선택함. SMART 칸에 여러 번 지우고 고친 흔적이 있어 목표를 구체화하려 고민한 과정이 보임. 체중 감량(2kg) 수치 목표가 포함되어 있으므로, 실천 과정에서 무리한 식사 제한보다 운동·균형 잡힌 식습관 중심으로 가도록 살펴볼 필요</t>
        </is>
      </c>
      <c r="F9" s="5" t="inlineStr">
        <is>
          <t>S·M 항목 수정 흔적이 많아 일부 판독 어려움(원본 확인 권장)</t>
        </is>
      </c>
    </row>
    <row r="10" ht="303" customHeight="1">
      <c r="A10" s="4" t="inlineStr">
        <is>
          <t>P-3</t>
        </is>
      </c>
      <c r="B10" s="5" t="inlineStr">
        <is>
          <t>[개별프로젝트 3차시·습관형성] 습관 실천 — 1주차 습관 기록표</t>
        </is>
      </c>
      <c r="C10" s="5" t="inlineStr">
        <is>
          <t>이번 주 목표와 확인(인증) 방법 정하기, 요일별 실천 내용·실천/인증 체크·오늘의 한 줄(동료 응원) 기록, 실천 일수와 한 주 소감 작성</t>
        </is>
      </c>
      <c r="D10" s="5" t="inlineStr">
        <is>
          <t>[습관형성] 1주차 습관 기록표
· 이번 주 목표: 하루에 러닝 10분^^ / 확인(인증) 방법: 영상 찍기
· 월·화: '꾸준히 걸어 다녔다'(한 줄: '힘들었다') / 수·목: '실천 ×' / 금: '열심히 뛰어다녔다'(한 줄: '재밌었다') / 토·일: '추석 연휴'
· 월·화·금 실천 칸에 ○와 ×를 겹쳐 그림(실천 여부 판독 어려움)
· 이번 주 실천 일수: 칸에 '○'만 적음(0일로 추정)
· 느낀 점: '목표를 너무 적게 달성한 것 같아서 아쉬웠다. 다음엔 더 열심히 해보겠다.'</t>
        </is>
      </c>
      <c r="E10" s="5" t="inlineStr">
        <is>
          <t>2차시 목표(홈트·러닝과 식습관)에서 '러닝 10분'으로 좁혔으나, 실제로는 걷기 2일·뛰기 1일이라 목표와 기록이 딱 맞지 않음. 스스로 실천이 부족했다고 평가함. '걷기도 인정할지' 등 실천 기준을 함께 정해 주면 좋겠음.</t>
        </is>
      </c>
      <c r="F10" s="5" t="inlineStr">
        <is>
          <t>실천 여부(○/× 겹침)·실천 일수 판독 어려움 / 인증(영상) 체크 없음</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10116 오주영)</t>
        </is>
      </c>
    </row>
    <row r="2">
      <c r="A2" s="2" t="inlineStr">
        <is>
          <t>※ 활동지 스캔본(PDF)을 바탕으로 정리. 이번 스캔본에는 1-3차시(고등학교 내신 산출의 이해) 앞면이 포함되어 있지 않음.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②
자기소개: '선수로 경계를 떠났다'는 문제로 축구·(포지션 추정)·자전거 중 하나가 답으로 보이나 표시가 불명확 / 좋아하는 과목으로 국어·영어·수학 중 선택하는 문제(표시 불명확)
진로탐색 태도: '열심히 노력한다'는 '매우 그렇다'로 가장 높게 응답, 반면 '가족과 구체적으로 이야기 나눈다'·'상담 경험이 있다'는 둘 다 '매우 그렇지 않다'(최저)
상담 상대: 부모나 친척 / 진로결정 중요 기준: 부모님 의견 / 정보탐색: 부모님 말씀
노력: 기타 응답(공부로 추정, 판독 어려움) / 진로결정 어려운 점: 부모님과 의견이 달라서
가장 중요한 약속: '적극'(이유: 적극적으로 내 진로를 찾고 싶어서)
새롭게 깨달은 점 미기재, 다짐 5글자는 필체 판독 어려움</t>
        </is>
      </c>
      <c r="E5" s="5" t="inlineStr">
        <is>
          <t>진로결정 기준·정보탐색 방법을 모두 '부모님'으로 답했고, 어려운 점도 '부모님과 의견이 달라서'라고 답함 — 부모와의 진로 의견 차이가 이 학생에게 중요한 고민 지점으로 보임(1-5차시에서도 같은 맥락 확인됨)</t>
        </is>
      </c>
      <c r="F5" s="5" t="inlineStr">
        <is>
          <t>자기소개 문항 표시 불명확, 새롭게 깨달은 점·다짐 5글자 미기재/판독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학번·이름도 이 페이지엔 미기재)
빈칸학습 답안: 핵심전형-학생부교과전형(내신위주)/학생부(종합)전형(내신+생기부), 수능 최저학력기준 존재 가능
내신 5등급제, 1등급 상위10%, 지필+수행평가 합산(비중 40~60%), 졸업 총 192학점, 2학년 때부터 (진로)에 맞게 과목 선택, 1학년 여름방학까지 희망 계열 정하기 권장
세특 핵심: 세부능력 및 특기사항, 학생 태도는 '수업에 적극 참여'
창체 영역: 자율활동/동아리활동/행동특성 및 종합의견까지 모두 기재
2028수능 공통과목화, 정시에도 내신 반영 대학 증가까지 기재</t>
        </is>
      </c>
      <c r="E6" s="5" t="inlineStr">
        <is>
          <t>-</t>
        </is>
      </c>
      <c r="F6" s="5" t="inlineStr">
        <is>
          <t>'고교 생활의 전략'(역전·주도성 개념) 문항 2개,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이번 스캔본에는 1-3차시 활동지(등급컷 계산, 목표점수, 학습계획표 페이지)가 포함되어 있지 않아 정리할 내용이 없음</t>
        </is>
      </c>
      <c r="E7" s="5" t="inlineStr">
        <is>
          <t>-</t>
        </is>
      </c>
      <c r="F7" s="5" t="inlineStr">
        <is>
          <t>1-3차시 스캔본 누락 — 추후 확보 시 추가 정리 필요</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①원만성(넬슨 만델라/국제통상전문가·외교관·인사전문가) ②끈기(세종대왕/반려동물 행동교정 전문가·훈련사) ③감정회복력(헬렌 켈러/스포츠 카운슬러·장애인복지·사회복지사)
핵심 강점 '끈기' 선택, 강화 방안은 미기재
MIT 전공흥미검사: 1순위 희망전공 경영(추천 경영·경제 / 회계사·세무사 / 경영학과·경제학과·세무회계학과), 2순위 희망전공 체육(수정 흔적 있음, 추천 무용·체육 / 스포츠트레이너·직업운동선수 / 경호학과·체육학과), 3순위 희망전공 철학(수정 흔적 있음, 추천 국어국문학 / 학예사·역사연구원 / 사학과 등)
희망전공-추천전공 일치 여부 서술: 미기재
선호 직무유형: 경영 / 중요 직업가치 1~3순위: 경제적 풍족 &gt; 사회적 인정 &gt; 창의성</t>
        </is>
      </c>
      <c r="E8" s="5" t="inlineStr">
        <is>
          <t>2·3순위 희망전공란에 수정한 흔적이 있어(체육→체육으로 재기재, 철학 지움), 희망 진로를 놓고 고민한 흔적이 엿보임. 1순위 '경영'은 1-5·1-7차시(사업가, 경영학과)로 이어짐</t>
        </is>
      </c>
      <c r="F8" s="5" t="inlineStr">
        <is>
          <t>일치여부 서술, 강점 강화 방안 미기재</t>
        </is>
      </c>
    </row>
    <row r="9" ht="110" customHeight="1">
      <c r="A9" s="4" t="inlineStr">
        <is>
          <t>1-5</t>
        </is>
      </c>
      <c r="B9" s="5" t="inlineStr">
        <is>
          <t>최고 관심 직업 선정하기</t>
        </is>
      </c>
      <c r="C9" s="5" t="inlineStr">
        <is>
          <t>4~5차시 활동을 종합해 관심 직업 4개(운동선수·투자분석가·회계사·사업가) 정보 정리 후 토너먼트로 최종 관심직업 선정</t>
        </is>
      </c>
      <c r="D9" s="5" t="inlineStr">
        <is>
          <t>운동선수: 해당 종목의 운동선수 활동 / 체육 관련학과
투자분석가: 펀드매니저로서 자금 운용을 담당 / 경제학과
회계사: 기업·공공사업 대상 재무·손익 컨설팅 / 회계학과·경영학과
사업가: 기업을 이끌거나 개인 사업체계를 관리 / 경영학과
토너먼트 최종 선택: 사업가 (선택 이유: 내가 사업을 해보고 싶고 다양한 길을 가고 싶어서 / 운동선수 포기 이유: 부모님의 반대)
2단계 선택이유: 운동선수-내가 한 분야에 재능이 있고 좋아해서 열심히 할 수 있을 것 같아서 / 사업가-어렸을 때부터 사업과 재정 관리를 하고 싶었고 직접 키워나가고 싶어서</t>
        </is>
      </c>
      <c r="E9" s="5" t="inlineStr">
        <is>
          <t>'운동선수 포기 이유: 부모님의 반대'라고 명확히 서술 — 1-1차시에서 드러난 부모와의 진로 의견 차이가 여기서 구체적으로 확인됨. 운동에 대한 흥미와 재능은 있으나 진로로는 사업가를 최종 선택함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사업가
본인 예측: 대체될 것 같은 일-없다 / 협업할 것 같은 일-자산관리 / 절대 대체 불가-직원을 뽑을 때의 서비스(면접 등)
AI 실습 결과: 대체가능-시장조사·트렌드 분석, 해외 관련 업무 / 협업-홍보물 제작 등 / 절대 불가-서비스나 손님을 응대할 때, 회사의 매력을 전달하는 일
예측 비교: 'AI가 내 예상보다 더 많이 대체할 수 있었다'에 체크
나만의 강점: 서비스화·손님 응대
미래 명함 슬로건: 'AI가 [생산]하는 동안, 나는 [응대]한다'</t>
        </is>
      </c>
      <c r="E10" s="5" t="inlineStr">
        <is>
          <t>변선재 학생과 마찬가지로 'AI가 예상보다 더 많이 대체할 수 있었다'를 선택함</t>
        </is>
      </c>
      <c r="F10" s="5" t="inlineStr">
        <is>
          <t>모둠토론·모둠 공통결론 전체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경영학과 / 관심 대학: 한양대 에리카
학과 개요: '전문 경영자를 만드는 곳이다, 기업가정신을 길러준다'고 짧게 서술
적성·흥미 연결: 수학·규칙성과 관련된 흥미를 언급했으나 필체 판독이 다소 어려움
고교 관련 과목: 화법과 작문(추정), 경제, 법과 사회, 정치
대학 주요 교과목: 경영학원론, 경영 관련 과목, 회계 등
취득 가능 자격증: 세무사, 노무사, 공인노무사, 관세사
졸업 후 진출분야: 최고경영자, 경영컨설턴트, 세무사, 회계사, 노무사
학과 전망, 지금부터 노력할 것은 공란</t>
        </is>
      </c>
      <c r="E11" s="5" t="inlineStr">
        <is>
          <t>희망 진로(사업가)와 학과 탐색(경영학과) 방향이 일관됨</t>
        </is>
      </c>
      <c r="F11" s="5" t="inlineStr">
        <is>
          <t>적성·흥미 연결 일부 판독 어려움, 학과 전망 및 다짐 문항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전형별 모집인원 숫자만 동그라미로 표시했고, 전형 요소·반영 비율은 공란으로 남겨둠
반영교과 표, 전형 적합도 별점, 도전 전형 선택 모두 공란</t>
        </is>
      </c>
      <c r="E12" s="5" t="inlineStr">
        <is>
          <t>이번 활동지 중 1-8차시가 가장 비어 있음 — 해당 시간에 활동을 충분히 진행하지 못한 것으로 보임</t>
        </is>
      </c>
      <c r="F12" s="5" t="inlineStr">
        <is>
          <t>전형 요소 및 반영 비율, 반영교과 표, 전형 적합도 별점, 도전 전형 선택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소비자학 전공
학업역량: 1순위 B(이유: 성적이 가장 좋은 순으로 판단), 2순위 A, 3순위 C
진로역량: 1순위 B(이유: 관련된 활동과 읽은 책을 봄), 2순위 C, 3순위 A
공동체역량: 1순위 C(이유: 리더십을 종합적으로 봄), 2순위 B, 3순위 A
예상결과: B-A-C / 실제결과: B-A-C (일치)
느낀 점·배운 점: 미기재</t>
        </is>
      </c>
      <c r="E13" s="5" t="inlineStr">
        <is>
          <t>예상과 실제 결과가 정확히 일치함</t>
        </is>
      </c>
      <c r="F13" s="5" t="inlineStr">
        <is>
          <t>느낀 점·배운 점 미기재</t>
        </is>
      </c>
    </row>
    <row r="14" ht="252"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습관형성 (주제탐구 칸에도 가볍게 체크 흔적)
트랙 선택 이유: 평소에 안 좋은 생활 습관으로 인해 해야 할 일을 못하고, 계획을 세워도 꾸준히 하는 습관을 기르고 싶어서
[A 주제탐구 칸에도 작성] 관심 분야: 경영, 경제, 사업 / 이유: 어렸을 때부터 돈을 많이 벌고 싶다는 생각을 했는데, 어떤 직업이든 정상이면 많이 벌지만 그중에서 가장 잘 벌 수 있을 것 같아서(인쇄 예시 위에 겹쳐 써서 추정)
[C 습관형성] 닮고 싶은 습관: 매일 꾸준히 운동, 정해진 시간에 공부하는 습관
습관이 진로에 중요한 이유: 나중에 나의 꿈을 위해 공부를 하여 가고 싶은 학과에 가서 이런 계획적인 삶을 통해 미래에 도움이 되게
개선하고 싶은 습관: 꾸준히 조금씩 공부하기, 게임 시간 줄이기, 운동 시간 늘이기
8차시 계획·한 줄 다짐: 공란</t>
        </is>
      </c>
      <c r="E14" s="5" t="inlineStr">
        <is>
          <t>습관형성 트랙을 택하면서도 주제탐구 칸에 경영·경제·사업 관심을 적어, 1학기 희망 진로(사업가·경영학과)가 유지되고 있음을 보여줌. 스스로 '게임 시간 줄이기'를 개선 과제로 꼽음</t>
        </is>
      </c>
      <c r="F14" s="5" t="inlineStr">
        <is>
          <t>8차시 계획, 한 줄 다짐 미기재</t>
        </is>
      </c>
    </row>
    <row r="15" ht="294"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미기재)
최근 목표: 공부하는 습관 만들기 / 계획: 평일에 매일 30분씩 공부한 거 내용을 기록해보기
자기평가: 목표 달성 '보통', 계획 실행 '부족' — 이유: 매일 30분씩 공부는 어렵지 않은데 내용 기록은 안 했음
장애물 → 개선방안: ①피곤하면 하기 어렵고 자고 싶음 → 공부 시간을 더 짧게 해본다 ②공부해보고 노트에 작성을 안 함 → 조금씩이라도 작성해본다
SMART 목표: 매일 저녁에 30분씩 공부하는 습관 만들기
· S: 매일 30분씩 공부한 걸 기록한다
· M: 매주 기록한 걸로 복습을 해본다
· A: 매일 요약해서 3줄씩 써본다
· R: 학원 시간을 고려하여 저녁에 하고, 성적 10점 올린다
· T: 평일마다 중간고사 전까지
인증 방법: 사진 촬영, 습관 기록 앱·캘린더 캡처 / 최종 확인 방법: 미기재
최종 습관 목표: (매일 30분씩 공부 → 지우고) 매일 1시간이 될 때까지</t>
        </is>
      </c>
      <c r="E15" s="5" t="inlineStr">
        <is>
          <t>실천이 안 된 이유(피곤함, 기록 누락)를 솔직하게 분석하고 그에 맞춘 개선안(시간 줄이기, 3줄 요약)을 세움. 모둠 의견 후 최종 목표를 '1시간이 될 때까지'로 점진적으로 늘리는 방향으로 수정함</t>
        </is>
      </c>
      <c r="F15" s="5" t="inlineStr">
        <is>
          <t>최종 확인 방법 미기재</t>
        </is>
      </c>
    </row>
    <row r="16" ht="314"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 이번 주 목표: 매일 30분씩 공부하기 / 확인(인증) 방법: 친구에게 인증받기
· 수: '매일 30분씩 공부하기에서 국어 공부를 1시간 했다' / 목: '영·수 공부를 2시간씩 했다' / 금: '영어 모의고사 정리를 1시간 동안 했다' / 토: '수학 공부를 1시간 30분 동안 했다' — 수~토 실천 ○·인증 ✓
· 월·화·일: 실천 내용 없음 / 오늘의 한 줄: 모두 비어 있음
· 이번 주 실천 일수: 4일 / 7일
· 느낀 점: '생각보다 어렵지는 않았지만 시작해야 하는 시간에 시작을 안 하면 귀찮아서 못하게 되는 것 같다.'</t>
        </is>
      </c>
      <c r="E16" s="5" t="inlineStr">
        <is>
          <t>2차시 목표(저녁 30분 공부 → 1시간까지 늘리기)를 넘겨 실천한 날마다 1~2시간씩 공부함. 친구 인증도 받음. 느낀 점에서 '시작 시간을 놓치면 못 한다'는 원인을 스스로 짚어, 다음 주에는 시작 시간을 정해 두도록 도우면 좋겠음.</t>
        </is>
      </c>
      <c r="F16" s="5" t="inlineStr">
        <is>
          <t>월·화·일 실천 기록, 오늘의 한 줄 미기재</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10117 이가람)</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②(첫 문항은 수정 흔적 있음) / 첫인사: '1년 동안 잘 부탁드립니다'
자기소개(거짓 찾기): '형제가 있다'가 거짓(운동·노는 것을 좋아함은 사실) / '강아지를 키운다'가 거짓(제주도에 가봤음·운동을 배웠음은 사실)
진로탐색 태도: '자신있게 말할 수 있다'는 '그렇지 않다', '가족과 구체적으로 이야기 나눈다'·'상담 경험이 있다'는 둘 다 '매우 그렇다'(최고), '열심히 노력한다'·'공부 필요성을 알고 노력한다'는 '보통이다'
상담 상대: 부모나 친척, 선배나 친구, 기타(챗GPT)로 복수 응답 — AI 챗봇을 상담 수단으로 명시함
진로결정 중요 기준: 나의 소질과 적성 / 정보탐색: 인터넷 검색, 부모님 말씀
노력: 흥미·적성을 찾기 위한 비교과 활동 참여, 기타('내가 잘하는 것, 즐거워하는 것을 생각하기')
어려운 점: 나의 특성을 몰라서, 기타('운동 쪽으로 가고 싶은데 이미 늦은 것 같아서')
가장 중요한 약속: '집중'(이유: 수업 시간에 집중하면 선생님에 대한 예의도 지키고 친구들에게 피해를 주지 않기 때문)
새롭게 깨달은 점: '진로를 급하게 안 잡아도 되겠다' / 별도 다짐: '진로 수업을 열심히 참여하여 진로를 찾아보겠습니다'
다짐 5글자: '화이팅하자'</t>
        </is>
      </c>
      <c r="E5" s="5" t="inlineStr">
        <is>
          <t>상담 상대로 '챗GPT'를 직접 명시한 점이 눈에 띔 — AI를 진로 상담 도구로 이미 활용하고 있는 것으로 보임. 또한 진로결정이 어려운 이유로 '운동 쪽으로 가고 싶은데 이미 늦은 것 같다'고 적어, 스포츠 관련 진로에 대한 관심과 동시에 시작 시기에 대한 불안감이 엿보임(1-5·1-7차시의 스포츠트레이너 희망과 연결됨)</t>
        </is>
      </c>
      <c r="F5" s="5" t="inlineStr">
        <is>
          <t>-</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합산(비중 40~60%), 졸업 총 192학점, 2학년 때부터 (진로)에 맞게 과목 선택, 1학년 여름방학까지 희망 계열 정하기 권장
세특 핵심: 세부사항 및 특기사항, 학생 태도는 '수업에 참여해야 한다'
창체 영역: 자율활동/동아리활동/행동특성 및 종합의견까지 모두 기재
2028수능 공통과목화까지 기재</t>
        </is>
      </c>
      <c r="E6" s="5" t="inlineStr">
        <is>
          <t>-</t>
        </is>
      </c>
      <c r="F6" s="5" t="inlineStr">
        <is>
          <t>정시 반영대학 증가 관련 문항, '역전'·'주도성' 개념,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3번 문항(동점자·세특·NEIS 질문)은 모두 공란
1차 정기고사 목표점수: 국어60·수학60·영어80·한국사70·통합사회50·통합과학80
4/8~4/20 학습 계획표: 4/10~4/14까지 전 과목(국어 단어 암기, 수학 문제풀이, 영어 본문 암기, 한국사 시대별 암기, 통합사회 단원 정리, 통합과학 교과서 복습)에 걸쳐 구체적으로 계획을 세웠고, 4/15 이후는 반복 표시(체크 기호)만 남아 세부 내용 확인이 어려움</t>
        </is>
      </c>
      <c r="E7" s="5" t="inlineStr">
        <is>
          <t>4/10~4/14 구간은 전 과목에 걸쳐 균형 있게 계획을 세운 점이 눈에 띔</t>
        </is>
      </c>
      <c r="F7" s="5" t="inlineStr">
        <is>
          <t>3번 문항 미기재, 4/15 이후 학습계획 세부 내용 판독 어려움</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①유머(조지 버나드 쇼/개인미디어 콘텐츠 제작자·코미디언·예능작가·레크리에이션 강사) ②호기심(알버트 아인슈타인/로봇공학자·과학자·기자·여론조사전문가) ③신중성(제갈공명/과학수사관·재난관리전문가)
핵심 강점 '유머' 선택, 강화 방안: '공부하기'로 기재(문구 다소 이례적)
MIT 전공흥미검사: 1순위 희망전공 무용·체육(추천 무용·체육 / 스포츠트레이너·운동선수 / 경호학과·체육학과), 2순위 희망전공 식품·조리(추천 보건·간호 / 간호사·보건교사·물리치료사 / 간호학과·응급구조학과), 3순위 희망전공 보건·간호(추천 식품·조리 / 한식·일식조리사 / 식품학과·식품조리과)
희망전공-추천전공 일치여부 서술: '의약계열 쪽 선호도가 높아서'라고 2·3순위가 뒤바뀐 이유를 서술함
선호 직무유형: 아이디어형 / 중요 직업가치 1~3순위: 사회적 인정 &gt; 안정성 &gt; 사회봉사</t>
        </is>
      </c>
      <c r="E8" s="5" t="inlineStr">
        <is>
          <t>1순위(무용·체육)가 1-1·1-5·1-7차시의 '스포츠트레이너' 희망과 일관되게 이어짐</t>
        </is>
      </c>
      <c r="F8" s="5" t="inlineStr">
        <is>
          <t>-</t>
        </is>
      </c>
    </row>
    <row r="9" ht="110" customHeight="1">
      <c r="A9" s="4" t="inlineStr">
        <is>
          <t>1-5</t>
        </is>
      </c>
      <c r="B9" s="5" t="inlineStr">
        <is>
          <t>최고 관심 직업 선정하기</t>
        </is>
      </c>
      <c r="C9" s="5" t="inlineStr">
        <is>
          <t>4~5차시 활동을 종합해 관심 직업 4개(스포츠트레이너·체육교사·패션디자이너·요리사) 정보 정리 후 토너먼트로 최종 관심직업 선정</t>
        </is>
      </c>
      <c r="D9" s="5" t="inlineStr">
        <is>
          <t>스포츠트레이너: 선수의 체력을 관리하는 트레이너와 경기력을 향상시키는 트레이너 두 종류로 나뉨 / 사회체육학과·스포츠의학과·체육학과
체육교사: 학교 수업에서 여러 종목과 체육 지식을 학생들에게 교육 / 체육교육과
패션디자이너: 개성을 표현하는 옷을 디자인·설계 / 의류학과·패션디자인학과
요리사: 재료를 활용해 음식을 만들고 연구 / 조리과학과·식품조리학과
토너먼트 최종 선택: 스포츠트레이너 (선택 이유: 요리도 좋지만 체육에 관심이 더 많고, 내가 좋아하는 선수를 옆에서 볼 수 있기 때문에 / 요리사 포기 이유: 요리도 좋지만 스포츠만큼은 아니라서)
2단계 선택이유: 스포츠트레이너-선수를 도와주며 부상 관리해주는 모습이 멋있어서 / 요리사-요리에 관심이 많고 평소에도 요리를 하기 때문에</t>
        </is>
      </c>
      <c r="E9" s="5" t="inlineStr">
        <is>
          <t>1차 관심 직업으로 '스포츠트레이너'가 최종 확정됨 — 1-1·1-4차시와 방향이 일관됨</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스포츠트레이너
본인 예측(STEP1)은 미기재 — STEP2(AI 실습)부터 작성함
AI 실습 결과: 대체가능-자세 분석 및 피드백, 식단·운동프로그램 짜기, 스케줄 관리 및 회원권 정산 / 협업-부상 예측 및 재활, 동기부여 데이터 제시, 개인 맞춤형 웰니스 케어 / 절대 불가-감정 교류와 동기부여, 수동적 보조 및 촉각 피드백</t>
        </is>
      </c>
      <c r="E10" s="5" t="inlineStr">
        <is>
          <t>본인 예측(STEP1), 예측 비교(STEP3), 나만의 강점, 미래 명함, 모둠토론, 모둠 공통결론이 모두 공란 — AI 실습 결과 정리에만 집중하고 나머지 활동은 진행하지 못한 것으로 보임</t>
        </is>
      </c>
      <c r="F10" s="5" t="inlineStr">
        <is>
          <t>STEP1, STEP3, 강점 찾기, 미래 명함, 모둠토론, 모둠 공통결론 전체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스포츠의학과(생활체육학과·체육학과·사회체육학과도 함께 고려) / 관심 대학: 경희대학교
학과 개요: 인간의 신체적 움직임을 생리학·해부학·생화학 등 생명과학적 관점에서 측정·평가하고, 운동기능 향상과 건강 유지를 위한 훈련·건강 관련 생활방식을 연구·지도·처방하는 학문이라고 상세히 서술
적성·흥미 연결: '(운동)체육을 좋아하는데 그 부분과 연결이 되어 있기 때문에'
고교 관련 과목: 체육, 과학(인체), 생물과학, 한국사, 통합사회
대학 주요 교과목: 체육원리, 체육해부학, 운동생리학, 스포츠심리학, 건강관리
취득 가능 자격증: 생활체육지도사, 선수 트레이너, 건강운동관리사
졸업 후 진출분야: 재활 의료센터, 스포츠센터, 대한스포츠의학회, 보건소
지금부터 노력할 것: '사람의 몸 구조를 정확히 이해하고 몸의 기능을 다 알고 있어야 하며, 선수의 능력을 최대한 높여줄 수 있는 운동·훈련 등을 알아야 한다'고 구체적으로 서술함</t>
        </is>
      </c>
      <c r="E11" s="5" t="inlineStr">
        <is>
          <t>희망 진로(스포츠트레이너)와 학과 탐색(스포츠의학과)이 매우 구체적이고 일관되게 이어짐 — 이번에 정리한 학생 중 1-7차시 완성도가 가장 높은 사례</t>
        </is>
      </c>
      <c r="F11" s="5" t="inlineStr">
        <is>
          <t>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학생부교과70%+서류종합30%)
학생부종합 'Do Dream'(9명, 1단계 서류종합100%→2단계 면접40%+1단계성적60%)
논술(5명, 논술70%+교과20%+출결10%)
정시 수능 나군(모집인원 등 동그라미 표시만 있고 구체 비율은 공란)</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첨단융합학부
학업역량: 1순위 A(이유: 학업 이수 현황이 세심히 작성되어 있고 동아리 등 활동을 충실히 반영함), 2순위 C, 3순위 B
진로역량: 1순위 A(이유: 진로를 위해 여러 활동을 했고 꿈이 뚜렷해서 선택함), 2순위 B, 3순위 C
공동체역량: 1순위 B(이유: 공동체를 위해 코딩 동아리를 만들고 글에 진심이 느껴져서 선택함), 2순위 A, 3순위 C
예상결과: A-B-C / 실제결과: A-B-C (일치)
느낀 점: '실제 학생들의 학교생활기록부를 보아서 신기했다'
배운 점: '이런 웹사이트도 있다는 것을 알게 되었다'</t>
        </is>
      </c>
      <c r="E13" s="5" t="inlineStr">
        <is>
          <t>예상과 실제 결과가 정확히 일치했고, 모든 항목에 구체적인 근거를 제시함</t>
        </is>
      </c>
      <c r="F13" s="5" t="inlineStr">
        <is>
          <t>-</t>
        </is>
      </c>
    </row>
    <row r="14" ht="266"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② 진로독서와 ③ 습관형성 두 곳에 체크(2차시에는 습관형성 활동지 제출)
트랙 선택 이유: 평소에 요리사라는 직업에 관심이 있어 조사해보기 위해서, 정확한 진로가 없어서
[A 주제탐구 칸에도 작성] 탐구 유형 ① 진로 연계형 / 관심 분야: 요리사, 스포츠 트레이너 / 이유: 요리를 하고 난 뒤 그 사람이 내 요리를 맛보고 행복한 모습을 보면 나도 기분이 좋아서 / 주제 선택 이유: 최근 요리 프로그램이 많아지는 것을 보고 요리의 종류가 얼마나 많은지 궁금함
[B 진로독서] 이유: 책을 통해 많은 지식을 얻기 위해서 / 도서 선정 기준: ①나의 분야(운동, 요리, 우주) ②재미 ③유익 / 후보 분야: 요리, 운동
[C 습관형성] 작성했다가 모두 줄로 지움
8차시 계획(독서 트랙 흐름): 2 독서 선정 → 3 목표 설정 → 4·5 독서 기록 → 6 발표 제작 → 7 결과 정리
한 줄 다짐: 열심히 준비하겠습니다 / 자가 점검 3개 모두 체크</t>
        </is>
      </c>
      <c r="E14" s="5" t="inlineStr">
        <is>
          <t>세 트랙 칸을 모두 건드리며 오래 고민한 흔적이 뚜렷함(최종 계획은 독서 흐름 → 2차시는 '독서 습관'으로 습관형성 활동지 제출). 1학기(스포츠의학과·트레이너)에 없던 '요리사' 관심이 새로 등장함</t>
        </is>
      </c>
      <c r="F14" s="5" t="inlineStr">
        <is>
          <t>트랙 중복 체크(진로독서/습관형성) — 최종 트랙 확인 필요</t>
        </is>
      </c>
    </row>
    <row r="15" ht="238"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미기재)
최근 목표: 책 읽기 / 계획: 1달 안에 책 1권 다 읽기
자기평가: 목표 달성·계획 실행 모두 '보통'과 '만족' 두 칸에 체크(어느 쪽인지 불명확) — 이유: 아직 조금밖에 안 해봐서
장애물 → 개선방안: ①지루함 → 더 집중해보기 ②휴대폰 → 멀리 두고 책에 집중
SMART 목표: 책 읽기 습관 만들기
· S: 책 1권을 1달 안에 다 읽어보기
· M: 책을 매일 읽고 다 읽고 난 뒤 기억나는 부분 써보기
· A: 책을 10페이지 이상만큼만 읽기(수정)
· R: 책에서 모르는 단어 3개는 외운다
· T: 1달 동안 매일 실천
인증 방법: 사진 촬영으로 인증 / 최종 확인 방법: 사진 촬영으로 인증</t>
        </is>
      </c>
      <c r="E15" s="5" t="inlineStr">
        <is>
          <t>독서 습관 목표를 하루 10페이지·모르는 단어 3개 등 실천 가능한 단위로 잘 쪼갬. 1학기 관심 분야(스포츠의학과)와는 별개인 기초 학습 습관 목표</t>
        </is>
      </c>
      <c r="F15" s="5" t="inlineStr">
        <is>
          <t>자기평가 척도 중복 체크(보통/만족), 6번 최종 습관 목표 미기재</t>
        </is>
      </c>
    </row>
    <row r="16" ht="300"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 이번 주 목표: 책 10페이지 이상 읽어 보기 / 확인(인증) 방법: 사진 촬영
· 화: '책을 10페이지 읽음'(동료 응원: '가람아 다음 주는 더 많이 읽자 알았제? ^^' — 다른 사람 글씨) / 토: '10페이지 읽음'(한 줄: '좀 더 자주 읽기')
· 나머지 요일은 비어 있음
· 이번 주 실천 일수: 2일 / 7일
· 느낀 점: '생각보다 책 읽은 횟수가 적다는 것을 알게 되었고 이번 주부터 제대로 해야겠다는 생각을 했습니다.'</t>
        </is>
      </c>
      <c r="E16" s="5" t="inlineStr">
        <is>
          <t>2차시 목표(하루 10쪽 이상)를 그대로 가져왔으나 2일만 실천함. 동료가 응원 한 줄을 적어 준 점이 좋음. 스스로 부족함을 알아차렸으므로 읽는 시간대를 정하도록 도우면 좋겠음. 1차시 트랙 중복 체크 이후 습관형성(독서 습관)으로 정리된 상태.</t>
        </is>
      </c>
      <c r="F16" s="5" t="inlineStr">
        <is>
          <t>월·수·목·금·일 기록 없음 / 인증 체크 없음</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10119 이영민)</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자기소개 3문항 모두 미기재
진로탐색 태도: '자신있게 말할 수 있다'·'열심히 노력한다'·'공부 필요성을 알고 노력한다'는 모두 '그렇지 않다', '가족과 구체적으로 이야기 나눈다'는 '그렇다', 상담 경험은 '보통이다'
상담 상대: 교사 / 진로결정 중요 기준: 나의 소질과 적성 / 정보탐색: 인터넷 검색, 진로 상담(복수 응답)
노력: 흥미와 적성을 찾기 위한 비교과 활동 참여 / 어려운 점: 체크 없음(미기재)
가장 중요한 약속: '존중'(이유: '존중해야 하기 때문이다')
새롭게 깨달은 점: '진로에 대해 아직 부족하다'로 추정(판독 어려움)
다짐 5글자: 필체 판독 어려움(원본 확인 권장)</t>
        </is>
      </c>
      <c r="E5" s="5" t="inlineStr">
        <is>
          <t>진로 자신감·노력·학습 필요성 인식 문항에서 낮은 응답이 여러 개 나타남 — 아직 진로 탐색에 대한 준비도가 낮게 느껴지는 것으로 보임</t>
        </is>
      </c>
      <c r="F5" s="5" t="inlineStr">
        <is>
          <t>진진가 퀴즈, 자기소개 3문항, 어려운 점, 다짐 5글자 미기재/판독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공란(학번·이름도 이 페이지엔 미기재, 교사 제공 정보자료)
빈칸학습 답안: 핵심전형-학생부교과전형(내신위주)/학생부종합전형(내신+생기부), 수능 최저학력기준 존재 가능
내신 5등급제, 1등급 상위10%, 수행평가+지필평가 합산(비중 40~60%), 졸업 총 192학점, 2학년 때부터 (진로)에 맞게 과목 선택, 1학년 여름방학까지 희망 계열 정하기 권장
세특 핵심: 세부능력 및 특기사항, 학생 태도는 '수업에 적극적으로 참여'
창체 영역: 자율활동/동아리활동/행동특성 및 종합의견까지 모두 기재
2028수능 공통과목화, 정시에도 내신 반영 대학 증가, '역전'·'주도성' 개념까지 모두 기재</t>
        </is>
      </c>
      <c r="E6" s="5" t="inlineStr">
        <is>
          <t>1-1차시와 달리 이 빈칸학습은 거의 완벽하게 채워짐</t>
        </is>
      </c>
      <c r="F6" s="5" t="inlineStr">
        <is>
          <t>느낀점/다짐 서술형 문항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계산 과정에서 단위 표기(100 vs 60)에 혼동이 있었으나 최종 답은 정확히 도출함
3번 문항(동점자·세특·NEIS 질문) 전체 공란
1차 정기고사 목표점수 표 전체 공란
4/8~4/20 학습 계획표 전체 공란</t>
        </is>
      </c>
      <c r="E7" s="5" t="inlineStr">
        <is>
          <t>등급 계산 외의 나머지 내용(목표점수, 학습계획, 3번 문항)이 전부 비어 있음</t>
        </is>
      </c>
      <c r="F7" s="5" t="inlineStr">
        <is>
          <t>3번 문항, 목표점수 표, 학습계획표 전체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①도덕성(임마누엘 칸트/의약품인허가 전문가·교사·판사) ②유머(조지 버나드 쇼/콘텐츠 제작자·코미디언·예능작가) ③냉정한 침착력(헬렌 켈러/스포츠 카운슬러·장애인복지·사회복지사)
핵심 강점 '도덕성' 선택, 강화 방안은 미기재
MIT 전공흥미검사: 1순위 희망전공 전기·전자·컴퓨터(추천 전기공학 / 반도체공정기술자 / 디지털콘텐츠 관련학과), 2순위 희망전공 경영·경제(추천 경영학 / 회계사 / 경영학과·경제학과), 3순위 희망전공 식품·조리(추천 식품영양학 / 양식조리사·제과제빵사 / 제과제빵과·조리학과)
희망전공-추천전공 일치 여부 서술: '같다'로 짧게 응답함
선호 직무유형: 예체능형(추정) / 중요 직업가치 1~3순위 모두 '창의성'으로 동일하게 기재함(이례적)</t>
        </is>
      </c>
      <c r="E8" s="5" t="inlineStr">
        <is>
          <t>중요 직업가치 1~2~3순위를 모두 '창의성'으로 반복 기재한 점이 특이함(우선순위 구분이 아직 명확하지 않은 것으로 보임). 1순위(전기·전자·컴퓨터/반도체)와 3순위(식품·조리)에 대한 관심이 이후 1-5·1-6차시에서도 함께 나타남</t>
        </is>
      </c>
      <c r="F8" s="5" t="inlineStr">
        <is>
          <t>강점 강화 방안 미기재</t>
        </is>
      </c>
    </row>
    <row r="9" ht="110" customHeight="1">
      <c r="A9" s="4" t="inlineStr">
        <is>
          <t>1-5</t>
        </is>
      </c>
      <c r="B9" s="5" t="inlineStr">
        <is>
          <t>최고 관심 직업 선정하기</t>
        </is>
      </c>
      <c r="C9" s="5" t="inlineStr">
        <is>
          <t>4~5차시 활동을 종합해 관심 직업 4개(반도체공학기술자·회계사·양식조리사·제과제빵사) 정보 정리 후 토너먼트로 최종 관심직업 선정</t>
        </is>
      </c>
      <c r="D9" s="5" t="inlineStr">
        <is>
          <t>반도체공학기술자: 반도체를 만들고 연구하는 일 / 관련학과(디지털콘텐츠 관련으로 기재)
회계사: 기업의 재무·손익을 다루는 일 / 경영학과·경제학과
양식조리사: 양식 요리를 하는 일 / 조리제과 관련학과
제과제빵사: 빵을 만드는 일 / 제과제빵과
토너먼트 최종 선택: 반도체공학기술자 (선택 이유: 반도체가 미래에 더 널리 활용될 것 같아서 / 제과제빵사 포기 이유: 돈을 더 못 벌 것 같아서)
2단계 선택이유: 반도체-요즘 반도체 산업이 뜨고 있어서 / 제과제빵-빵 만드는 것이 더 좋아서</t>
        </is>
      </c>
      <c r="E9" s="5" t="inlineStr">
        <is>
          <t>최종 관심 직업으로 '반도체공학기술자'가 확정되었으나, 아래 1-6차시에서는 '요리사'를 5차시 최고관심직업으로 다시 적어 두 관심사(반도체·조리) 사이에서 아직 확실히 정리되지 않은 것으로 보임</t>
        </is>
      </c>
      <c r="F9" s="5" t="inlineStr">
        <is>
          <t>-</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요리사(1-5차시의 최종 선택인 반도체공학기술자와는 다른 직업을 적음)
본인 예측: 대체될 것 같은 일-재료 손질 / 협업할 것 같은 일·절대 대체 불가는 필체 판독이 어려움
AI 실습 결과: 대체가능-메뉴얼·레시피 개발 보조, 재고 관리, 반복적인 조리 작업 / 협업-고객 요구 메뉴 제작, 주방 운영 효율화, 음식 품질 관리 / 절대 불가-창의적인 요리로 경쟁력 갖추기, 고객과의 소통, 예상치 못한 상황 대처
예측 비교: 'AI가 못하는 부분이 내 생각보다 많았다'에 체크
나만의 강점: 창의적인 소통(추정)
미래 명함 슬로건: 'AI가 [○○]하는 동안, 나는 [디자인]한다'(요리 관련, 일부 판독 어려움)
모둠토론(박주빈-초등교사, 김태경 외, 오주영-사업가): 본인 항목은 판독 어려움
모둠 공통결론: 'AI가 절대 못하는 건 사랑의 감정 여부이다'(추정)</t>
        </is>
      </c>
      <c r="E10" s="5" t="inlineStr">
        <is>
          <t>1-5차시(반도체공학기술자)와 1-6차시(요리사)에서 서로 다른 최고관심직업을 적어, 두 진로 사이에서 고민하고 있는 것으로 보임 — 상담 시 두 관심사에 대한 우선순위를 함께 정리해보면 좋을 것 같음</t>
        </is>
      </c>
      <c r="F10" s="5" t="inlineStr">
        <is>
          <t>본인 예측 일부, 미래 명함 업그레이드 문구, 모둠토론 본인 항목 판독 어려움</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외식조리학과로 추정(수정한 흔적 있음) / 관심 대학: 판독 어려움(가야대로 추정)
학과 개요, 적성·흥미 연결, 고교 관련 과목, 대학 주요 교과목, 취득 가능 자격증, 졸업 후 진출분야, 학과 전망, 지금부터 노력할 것 모두 공란</t>
        </is>
      </c>
      <c r="E11" s="5" t="inlineStr">
        <is>
          <t>탐색할 학과와 관심 대학만 적고 나머지 항목은 대부분 비어 있음 — 1-5·1-6차시의 '조리' 관심이 이어지는 것으로 보이나 구체적인 조사로는 이어지지 못함</t>
        </is>
      </c>
      <c r="F11" s="5" t="inlineStr">
        <is>
          <t>기본 정보 2칸을 제외한 전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학생부교과70%+교과관련영역)
학생부종합 'Do Dream'(9명, 서류종합평가100%)
논술(5명, 학생부30%(교과20%+출결10%)+논술70%)
정시 수능 나군(9명, 일괄 수능80%+학생부평가20%)</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첨단융합학부
학업역량: 1순위 B(수정 흔적, 이유: 전체 학점에서 제일 뛰어남), 2순위 C(수정 흔적), 3순위 A
진로역량: 1순위 C(이유: 진로 활동을 열심히 참여함), 2순위 B, 3순위 A
공동체역량: 1순위 B(이유: 공동체 활동을 함께 열심히 함), 2순위 A, 3순위 C
예상결과·실제결과: 미기재 / 느낀 점·배운 점: 미기재</t>
        </is>
      </c>
      <c r="E13" s="5" t="inlineStr">
        <is>
          <t>역량 평가까지는 작성했으나 예상/실제 결과와 느낀점·배운점은 완성하지 못함</t>
        </is>
      </c>
      <c r="F13" s="5" t="inlineStr">
        <is>
          <t>예상·실제결과, 느낀점·배운점 미기재</t>
        </is>
      </c>
    </row>
    <row r="14" ht="126"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② 진로독서 (2차시에는 습관형성 활동지 제출)
트랙 선택 이유: 아직 진로에 방향을 못 정했고 어떤 진로에 흥미가 있는지 찾아보기 위해서
[A 주제탐구 칸에 작성] 관심 분야: 퍼포먼스 마케터, 세일즈 엔지니어, 설비 엔지니어 (①번 아래 '○○ 성장 에이전트'로 보이는 메모 — 판독 어려움)
[B 진로독서] 작성란: 공란
2쪽(8차시 계획·한 줄 다짐): 전부 공란</t>
        </is>
      </c>
      <c r="E14" s="5" t="inlineStr">
        <is>
          <t>'아직 진로 방향을 못 정했다'고 스스로 밝힘. 1학기(반도체공학기술자·외식조리학과)와 다른 마케터·엔지니어 직업을 새로 적음. 1차시에는 진로독서를 골랐는데 2차시는 습관형성(독서 습관) 활동지를 제출함 → 트랙 확인 필요</t>
        </is>
      </c>
      <c r="F14" s="5" t="inlineStr">
        <is>
          <t>트랙 불일치(1차시 진로독서 ↔ 2차시 습관형성), B 작성란·8차시 계획·다짐 미기재</t>
        </is>
      </c>
    </row>
    <row r="15" ht="224"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미기재)
최근 목표: 책 읽는 습관 들이기 / 계획: 한 주에 시간을 나눠서 읽기
자기평가: 목표 달성 '보통', 계획 실행 '보통' — 이유: 아직 실천을 안 했기 때문이다
장애물 → 개선방안: ①읽기 귀찮음 → 귀찮음을 이겨내기 ②지루함 → 책을 읽기 위해 집중하기
SMART 목표: 책을 읽는 습관 만들기
· S: 학교를 다녀온 후 씻고 책을 읽기(시간 표시는 지움)
· M: 책을 읽고 기억나는 문장, 단어 쓰기
· A: 하루에 30분 책 읽기(수정)
· R: 책을 읽어 문해력을 키운다
· T: 8차시 동안 한 권 이상 읽기
인증 방법: 사진 촬영 인증, 짝(동료)에게 매일 확인받기 / 최종 확인 방법: 촬영</t>
        </is>
      </c>
      <c r="E15" s="5" t="inlineStr">
        <is>
          <t>'문해력 키우기'라는 목적을 스스로 적은 점이 의미 있음. 개선방안이 '귀찮음을 이겨내기'처럼 의지 중심이라 구체적 실천 전략(시간·장소 정하기 등) 보완 지도 가능</t>
        </is>
      </c>
      <c r="F15" s="5" t="inlineStr">
        <is>
          <t>6번 최종 습관 목표 미기재</t>
        </is>
      </c>
    </row>
    <row r="16" ht="305"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(지우고 고친 흔적이 많음)
· 이번 주 목표: 처음 쓴 내용을 지우고 '책 150쪽까지만 읽기' / 확인(인증) 방법: 판독 어려움
· 월: 15쪽(추정) 이상 읽고 기억나는 구절을 적음(한 줄: '오늘도 화이팅') / 화: ○쪽 이상 읽고 기억나는 문장을 씀('오늘도 힘내자') / 일: ○쪽 이상 읽고('오늘도 열심히')
· 수~토: 실천 내용 칸을 크게 낙서로 지우고 실천 ×
· 이번 주 실천 일수: 3일 / 7일
· 느낀 점: '추석 때문에 많이 못 읽어서 아쉽다.'</t>
        </is>
      </c>
      <c r="E16" s="5" t="inlineStr">
        <is>
          <t>2차시 목표(하루 30분 독서, 기억나는 문장 쓰기)를 '읽고 기억나는 문장 쓰기'로 이어서 3일 실천함. 수~토 칸을 크게 지운 흔적이 있어 기록 부담이나 실천 어려움이 있었는지 가볍게 물어봐 주면 좋겠음.</t>
        </is>
      </c>
      <c r="F16" s="5" t="inlineStr">
        <is>
          <t>확인(인증) 방법·쪽수 일부 판독 어려움 / 수~토 칸 지움</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10120 임성미)</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미기재
자기소개: 쌍둥이다(참), MBTI는 ENFP이다(거짓 표시), 좋아하는 과목은 체육이다(참)
진로탐색 태도: '자신있게 말할 수 있다'·'열심히 노력한다'는 '그렇다', 나머지 항목은 '보통이다'
상담 상대: 부모나 친척 / 진로결정 중요 기준: 나의 소질과 적성 / 정보탐색: 유튜브 시청
노력: 틈틈이 진로에 대한 정보를 수집 / 어려운 점: 진로 관련 정보 탐색이 어려워서
가장 중요한 약속: '존중'(이유: 각 사람마다 생각하는 게 다르기 때문에)
새롭게 깨달은 점: '앞으로 나의 미래에 필요한 사이트를 알게 되었다'
다짐 5글자: '열심히하자'</t>
        </is>
      </c>
      <c r="E5" s="5" t="inlineStr">
        <is>
          <t>좋아하는 과목으로 '체육'을 꼽았고, 이는 이후 차시(1-4~1-7)의 체육 계열 희망과 일관되게 이어짐</t>
        </is>
      </c>
      <c r="F5" s="5" t="inlineStr">
        <is>
          <t>진진가 퀴즈 정답 미기재</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지필+수행평가 합산(비중 40~60%), 졸업 총 192학점, 2학년 때부터 (희망전공)에 맞게 과목 선택, 1학년 여름방학까지 희망 계열 정하기 권장
세특 핵심: 세부능력 및 특기사항
창체 영역: 자율활동/동아리활동/행동특성 및 종합의견까지 모두 기재
2028수능 공통과목화, 정시에도 내신 반영 대학 증가, '역전'·'주도성' 개념까지 모두 정확히 기재</t>
        </is>
      </c>
      <c r="E6" s="5" t="inlineStr">
        <is>
          <t>-</t>
        </is>
      </c>
      <c r="F6" s="5" t="inlineStr">
        <is>
          <t>'세특을 잘 채우기 위한 태도' 문항,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28등, 2등급 94등, 3등급 183등, 4등급 249등까지 정확히 계산함
3번 문항(동점자·세특·NEIS 질문)은 모두 공란
1차 정기고사 목표점수: 국어85·수학86·영어70·한국사90·통합사회80·통합과학75 — 전 과목 균형있게 높게 설정
4/10~4/20 학습 계획표: 한국사 과목(선사시대~병자호란까지 시대순 암기)만 매우 상세하게 계획했고, 다른 과목(국어·수학·영어·통합사회·통합과학) 계획은 공란</t>
        </is>
      </c>
      <c r="E7" s="5" t="inlineStr">
        <is>
          <t>목표점수는 전 과목 고르게 설정했지만, 실제 학습계획은 한국사 한 과목에 집중됨</t>
        </is>
      </c>
      <c r="F7" s="5" t="inlineStr">
        <is>
          <t>3번 문항 미기재, 한국사 외 과목 학습계획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①성취지향성(권기옥/미디어콘텐츠전문가·외판원·투자설계가) ②적극성(김만덕/항공우주공학자·사회변혁운동가·창업가) ③원만성(넬슨 만델라/국제통상전문가·외교관·인사전문가)
핵심 강점 '적극성' 선택, 강화 방안은 미기재(주변에 자신감·활동·도전·열정 등 단어만 자유 기재)
MIT 전공흥미검사: 1순위 희망전공 초·중등교육(추천 초·중등교육 / 교사 계열 / 음악·미술·체육교육과 등), 2순위 희망전공 무용·체육(추천 기계·조선·항공 / 항공정비기술자·자동차공학기술자 / 기계공학과·로봇공학과), 3순위 희망전공 기계·조선·항공(추천 영상·공연 / 애니메이터·방송연출가 / 미디어영상학과·연극영화학과)
희망전공-추천전공 일치 여부 서술: '하고 싶은 게 많은 것 같다'
선호 직무유형: 돌봄형 / 중요 직업가치 1~3순위: 안정성 &gt; 사회적 인정 &gt; 사회봉사</t>
        </is>
      </c>
      <c r="E8" s="5" t="inlineStr">
        <is>
          <t>1순위(초·중등교육)가 1-1차시(좋아하는 과목: 체육)와 1-5·1-7차시(체육교사)로 자연스럽게 이어짐</t>
        </is>
      </c>
      <c r="F8" s="5" t="inlineStr">
        <is>
          <t>강점 강화 방안 미기재</t>
        </is>
      </c>
    </row>
    <row r="9" ht="110" customHeight="1">
      <c r="A9" s="4" t="inlineStr">
        <is>
          <t>1-5</t>
        </is>
      </c>
      <c r="B9" s="5" t="inlineStr">
        <is>
          <t>최고 관심 직업 선정하기</t>
        </is>
      </c>
      <c r="C9" s="5" t="inlineStr">
        <is>
          <t>4~5차시 활동을 종합해 관심 직업 4개(체육교사·경호원·자동차공학기술자·동물조련사) 정보 정리 후 토너먼트로 최종 관심직업 선정</t>
        </is>
      </c>
      <c r="D9" s="5" t="inlineStr">
        <is>
          <t>체육교사: 신체 활동 프로그램을 학생들에게 시범 보이고 체육 관련 지식을 전달 / 체육교육과·체육학과·특수체육교육과
경호원: 의뢰인의 신변과 재산을 보호 / 경호학과·경호스포츠과·경찰행정학과
자동차공학기술자: 자동차의 성능·안전·편의성을 설계 및 결정 / 자동차공학과·기계공학과
동물조련사: 동물의 건강을 관리하고 목적·훈련에 맞게 조련 / 동물사육과·동물훈련 관련학과
토너먼트 최종 선택: 체육교사 (선택 이유: 체육이 좋고 체육할 때 행복하며, 그 기분을 다른 사람에게도 알려주고 싶어서 / 동물조련사 포기 이유: 체육교사라는 꿈이 이미 확고해서)
2단계 선택이유: 체육교사-어릴 때부터 쭉 체육에 재능이 있었고 체육 관련 직업을 하고 싶어서 / 동물조련사-어릴 때부터 동물을 길렀고 강아지를 키우며 동물 관련 활동을 함께해서</t>
        </is>
      </c>
      <c r="E9" s="5" t="inlineStr">
        <is>
          <t>1차 관심 직업으로 '체육교사'가 매우 확고하게 최종 확정됨(포기 이유에서 '꿈이 이미 확고하다'고 직접 서술)</t>
        </is>
      </c>
      <c r="F9" s="5" t="inlineStr">
        <is>
          <t>AI 활용 선호직무유형·직업가치 연관성 분석 문항 미기재</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체육교사
본인 예측: 대체될 것 같은 일-기록 측정 / 협업할 것 같은 일-학생 개인별 피드백 체크 / 절대 대체 불가-학생들에게 공감하며 동기부여를 해주는 것
AI 실습 결과: 대체가능-체력 측정·데이터 입력 분석, 이론 수업 및 평가 관리, 체육관 대여·기자재 관리 / 협업-AI 비전 분석을 통한 자세교정, 개인 맞춤형 운동 처방 및 부상 방지, VR/AR 활용 체험수업 / 절대 불가-현장 안전사고 시 즉각적 대처와 책임, 스포츠맨십·협동·페어플레이 등 인성교육, 학생과의 정서적 교감 및 동기부여
예측 비교: 'AI 예측과 내 예측이 비슷했다'에 체크
나만의 강점: 스포츠맨십, 협동, 페어플레이 등 인성교육
모둠토론(나현수-유치원교사, 박수진-영어교사, 임성미-체육교사, 조준호-호텔경영자 등): 본인 항목에 '인성교육, 예)페어플레이' 기재
모둠 공통결론: 'AI가 절대 못하는 건 학생의 감정을 진심으로 공감하고, 학생과 인간적인 신뢰관계를 형성하는 것이다'</t>
        </is>
      </c>
      <c r="E10" s="5" t="inlineStr">
        <is>
          <t>-</t>
        </is>
      </c>
      <c r="F10" s="5" t="inlineStr">
        <is>
          <t>미래 명함 슬로건 뒷부분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체육교육과 / 관심 대학: 성결대
학과 개요: 신체 활동을 통해 학생들의 건강한 성장과 전인적 발달을 도우며, 체계적 소양과 긍정적 리더십을 기를 수 있도록 지도하는 방법을 연구한다고 서술
적성·흥미 연결: 운동에 대한 관심이 많고 운동하는 것을 좋아함
고교 관련 과목: 체육 / 대학 주요 교과목: 교육학개론, 교과교육론, 체육교육과정 평가 등
취득 가능 자격증: 중등학교 정교사(체육), 경기지도사, 생활체육지도사, 생활스포츠지도사 등
졸업 후 진출분야: 기업체, 정책 및 공공기관, 연구기관, 교육계
지금부터 노력할 것: 체력 키우기, 다양한 교류 생각해보기, 운동 정리해보기</t>
        </is>
      </c>
      <c r="E11" s="5" t="inlineStr">
        <is>
          <t>희망 진로(체육교사)와 학과 탐색(체육교육과)이 1-1차시부터 매우 일관되게 이어짐</t>
        </is>
      </c>
      <c r="F11" s="5" t="inlineStr">
        <is>
          <t>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학생부교과70%+교과관련영역 서류종합평가30%, 수능최저 없음)
학생부종합 'Do Dream'(9명, 서류종합100%→면접40%, 1단계성적60%, 수능최저 없음)
논술(5명, 학생부30%+교과20%+출결10%, 논술70%, 수능최저 없음)
정시 수능 나군(9명, 수능80%+학생부평가20%, 실기 40%, 수능최저 없음)
반영교과: 학생부교과-국어·수학·영어·사회·과학 중 공통 과목을 제외한 성취도(5등급)와 성취도(6등급)가 경기·전산 상위 10과목(이수 학점 미반영)을 2학기 2학년 1학기까지 반영한다고 매우 구체적으로 기재, 논술도 유사한 방식으로 기재</t>
        </is>
      </c>
      <c r="E12" s="5" t="inlineStr">
        <is>
          <t>반영교과 표까지 매우 구체적으로 작성한 몇 안 되는 학생 — 전반적으로 이 학생의 활동지는 완성도가 높은 편</t>
        </is>
      </c>
      <c r="F12" s="5" t="inlineStr">
        <is>
          <t>전형 적합도 별점, 도전 전형 선택 및 이유는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의학과(추정)
학업역량: 1순위 A, 2순위 B, 3순위 C (이유 미기재)
진로역량: 1순위 A, 2순위 C, 3순위 B (이유 미기재)
공동체역량: 1순위 B, 2순위 A, 3순위 C (이유 미기재)
예상결과: B-A-C / 실제결과: A-B-C (불일치)
느낀 점: '독서랑 동아리 활동을 열심히 해야겠다'
배운 점: '단순 성적만 중요한 게 아니라 세특도 열심히 신경써야겠다는 점을 배웠다'</t>
        </is>
      </c>
      <c r="E13" s="5" t="inlineStr">
        <is>
          <t>순위는 빠르게 정리했으나 각 이유는 적지 않음</t>
        </is>
      </c>
      <c r="F13" s="5" t="inlineStr">
        <is>
          <t>학업·진로·공동체역량 이유 전체 미기재</t>
        </is>
      </c>
    </row>
    <row r="14" ht="196"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습관형성 (with 정솔미)
트랙 선택 이유: 미기재
[C 습관형성] 닮고 싶은 습관: 매일 꾸준히 수학 문제 최소 10개씩 풀기
습관이 진로에 중요한 이유: 내가 원하는 꿈을 이루기 위해서는 노력이 있어야 한다고 생각함
개선하고 싶은 습관: 공부 시간에 집중을 잘 못하는 습관
8차시 계획: 2 나의 집중 방해요소 찾기 및 환경 설계 → 3 내 난이도에 맞는 문제집 고르고 최소 10개 풀기 → 4 습관 트래커 작성 및 시작 → 5 오답노트가 아닌 '막힘 요소' 정리 → 6 제일 어려운 1문제 셀프 강의 → 7 피드백 및 결과 정리
한 줄 다짐: 미기재</t>
        </is>
      </c>
      <c r="E14" s="5" t="inlineStr">
        <is>
          <t>8차시 계획이 매우 독창적임('막힘 요소' 정리, 어려운 1문제 셀프 강의 등) — 습관형성 트랙 중 계획 완성도가 가장 높음. 2차시 수학 60점 목표와 일관됨</t>
        </is>
      </c>
      <c r="F14" s="5" t="inlineStr">
        <is>
          <t>트랙 선택 이유, 한 줄 다짐 미기재</t>
        </is>
      </c>
    </row>
    <row r="15" ht="322"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정솔미)
최근 목표: 수학 점수 60점 이상 맞기 / 계획: 매일 수학 문제 최소 5개씩 풀기
자기평가: 목표 달성 '보통', 계획 실행 '보통' — 이유: 목표를 이루기 위해서는 좀 더 노력해야 할 것 같다
장애물 → 개선방안: ①핸드폰 → 핸드폰 일시정지 어플을 쓴다 ②귀찮음 → 여태까지 봤던 수학 점수를 한 번 본다
SMART 목표: 매일 저녁식사 후 자습 습관 만들기
· S: 매일 최소 5문제씩 혼자서 풀어보기
· M: 매일 랜덤 문제를 풀어 주 1회 테스트 점수를 확인한다
· A: 기초부터 차근차근 개념을 머리 속에 익히고 배운 개념을 가지고 문제 풀기
· R: 수학 시험 시간 분배를 정해 실제 시험처럼 공부한 후 점수 확인하고 틀린 거 복습하고 다시 한 번 풀기
· T: 4주 정도 매일 실천하기
인증 방법: 습관 기록 앱·캘린더 캡처 / 최종 확인 방법: 시험 점수
최종 습관 목표: 이번 중간고사 수학 점수 60점 이상 맞기</t>
        </is>
      </c>
      <c r="E15" s="5" t="inlineStr">
        <is>
          <t>수학 점수 향상이라는 구체적 목표 아래 개념 학습→실전 연습→오답 복습 흐름을 스스로 설계함. 앱 활용·과거 점수 확인 등 장애물별 개선안도 현실적임</t>
        </is>
      </c>
      <c r="F15" s="5" t="inlineStr">
        <is>
          <t>-</t>
        </is>
      </c>
    </row>
    <row r="16" ht="338"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 이번 주 목표: 공부 시간에 딴짓하지 않고 집중해서 공부하기 / 확인(인증) 방법: 공부 어플
· 월: 1시간 30분 동안 집중해서 최소 수학 문제 5개 풀기(한 줄: '쉬운 문제여도 좋으니까 꾸준히 하기') / 화: 〃('좀 힘들면 잠깐 쉬었다 하기') / 수: 2시간 동안 헷갈렸던 수학 문제 다시 풀기와 개념 정리('개념 정리 잘하기, 헷갈리지 않게') / 목·금·토: 추석 연휴로 하지 못함 / 일: 1시간 동안 잘 안 풀려도 끝까지 포기하지 않고 풀기('인증 까먹지 말기!')
· 월~수 인증 ✓
· 이번 주 실천 일수: 4일 / 7일
· 느낀 점: '추석을 핑계로 하지 않은 내 자신이 좀 부끄럽다고 생각한다. 다음 주에는 시험이 얼마 안 남았으니 더 열심히 매일 최소 수학 문제 5개씩은 풀어야겠다.'</t>
        </is>
      </c>
      <c r="E16" s="5" t="inlineStr">
        <is>
          <t>2차시 목표(수학 60점, 매일 5문제)와 1차시 계획(오답 다시 풀기)을 그대로 실천에 옮김. 하루하루 스스로에게 주는 조언을 한 줄에 적어 기록의 질이 높음. 추석 연휴 3일 공백을 스스로 반성하고 다음 주 목표를 다시 정함.</t>
        </is>
      </c>
      <c r="F16" s="5" t="inlineStr">
        <is>
          <t>목·금·토 미실천(추석 연휴)</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10121 조준호)</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②, ② / 첫인사: '안녕하세요'
자기소개(거짓 찾기): O형이다 / 형제가 있다 / MBTI가 ISTP다 — 어느 것이 거짓인지 표시 확인 어려움
자기소개2: 수학을 좋아한다 / 큐브를 잘 맞춘다 / 냉면을 좋아한다 — 마찬가지로 표시 확인 어려움
진로탐색 태도: '자신있게 말할 수 있다'·'상담 경험이 있다'는 '그렇지 않다', '열심히 노력한다'·'공부 필요성을 알고 노력한다'는 '그렇다', 가족과의 대화는 '보통이다'
상담 상대: 부모나 친척 / 진로결정 중요 기준: 나의 소질과 적성 / 정보탐색: 진로 상담
어려운 점: 진로 체험 기회가 부족해서
가장 중요한 약속: '집중'과 '연결' 중복 체크(이유: 꿈이 아직 정확하게 없는데 활동에 잘 참여하면 정확한 꿈이 생길 수 있기 때문)
새롭게 깨달은 점: '꿈을 늦게 찾아도 괜찮다'
다짐 5글자: '화이팅하자'</t>
        </is>
      </c>
      <c r="E5" s="5" t="inlineStr">
        <is>
          <t>약속 항목을 '집중'과 '연결' 두 개 다 체크한 점, 그리고 '꿈이 아직 없다'는 점을 솔직하게 인정하면서도 긍정적으로('꿈을 늦게 찾아도 괜찮다') 받아들이는 태도가 눈에 띔</t>
        </is>
      </c>
      <c r="F5" s="5" t="inlineStr">
        <is>
          <t>자기소개 문항의 참/거짓 표시가 명확하지 않음</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합산(비중 40~60%), 졸업 총 192학점, 2학년 때부터 (진로)에 맞게 과목 선택, 1학년 여름방학까지 희망 계열 정하기 권장
세특 핵심: 세특, 학생 태도는 '수행평가 적극 참여'
창체 영역: 자율활동/동아리활동/행동특성 및 종합의견까지 기재
2028수능 공통과목화까지 기재</t>
        </is>
      </c>
      <c r="E6" s="5" t="inlineStr">
        <is>
          <t>-</t>
        </is>
      </c>
      <c r="F6" s="5" t="inlineStr">
        <is>
          <t>'역전'·'주도성' 개념 문항, 느낀점/다짐 서술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1등급 27등, 2등급 94등, 3등급 183등, 4등급 241등(정확한 값은 249등)까지 기재 — 계산 과정을 생략하고 결과값만 적었으며 일부 오차가 있음
동점자 질문 답: 전원 2등급 / 세특·NEIS 질문은 공란
1차 정기고사 목표점수: 국어80·수학75·영어75·한국사95·통합사회90·통합과학90
4/8~4/20 학습 계획표: 세부 학습 내용 대신 '2시간', '1시간' 등 과목별 공부 시간만 배분해 기재하는 독특한 방식 사용, 전 과목에 걸쳐 시간을 고르게 분배함</t>
        </is>
      </c>
      <c r="E7" s="5" t="inlineStr">
        <is>
          <t>다른 학생들과 달리 학습계획을 '무엇을 할지'가 아니라 '몇 시간 할지'로 짠 점이 독특함. 등급 계산 결과값에 소폭 오차가 있어 확인이 필요함</t>
        </is>
      </c>
      <c r="F7" s="5" t="inlineStr">
        <is>
          <t>등급 계산 과정 생략, 4등급 값에 오차 있음(241 vs 정답 249), 3번 문항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①공정성으로 보이는 강점(수정 흔적 있음/창업투자전문가·정보전문가 계열) ②도덕성(임마누엘 칸트/판사·교사·의약품인허가전문가) ③창의성(장영실/가상현실전문가·카피라이터)
핵심 강점 '창의성' 선택, 강화 방안: '상상을 많이 하기'
MIT 전공흥미검사: 1순위 희망전공 무용·체육(추천 미디어·홍보 / 홍보사무원·기자 / 관광홍보학과·언론영화학과), 2순위 희망전공 법률·행정(추천 무용·체육 / 스포츠트레이너·직업운동선수 / 스포츠건강관리학과·체육학과), 3순위 희망전공 수학·물리(추천 영상·홍보 / 영화감독·기술감독 / 영화과)
희망전공-추천전공 일치 여부 서술: 미기재
선호 직무유형: 아이디어형 / 중요 직업가치 1~3순위: 창의성 &gt; 사회봉사 &gt; 사회적 인정</t>
        </is>
      </c>
      <c r="E8" s="5" t="inlineStr">
        <is>
          <t>1순위·2순위 모두 '체육' 관련 요소가 섞여 있어 1-5·1-6차시의 스포츠트레이너 관심과 일부 연결됨</t>
        </is>
      </c>
      <c r="F8" s="5" t="inlineStr">
        <is>
          <t>일치여부 서술 미기재</t>
        </is>
      </c>
    </row>
    <row r="9" ht="110" customHeight="1">
      <c r="A9" s="4" t="inlineStr">
        <is>
          <t>1-5</t>
        </is>
      </c>
      <c r="B9" s="5" t="inlineStr">
        <is>
          <t>최고 관심 직업 선정하기</t>
        </is>
      </c>
      <c r="C9" s="5" t="inlineStr">
        <is>
          <t>4~5차시 활동을 종합해 관심 직업 4개(스포츠트레이너·경호원·정보분석 관련직·호텔컨시어지) 정보 정리 후 토너먼트로 최종 관심직업 선정</t>
        </is>
      </c>
      <c r="D9" s="5" t="inlineStr">
        <is>
          <t>스포츠트레이너: 재활트레이너와 선수 훈련 향상을 돕는 트레이너로 나뉨 / 체육학과·건강관리학과
경호원: 경호 의뢰인의 신변과 재산을 보호 / 경호학과·체육학과
정보분석 관련직(3번째 직업, 필체 판독 다소 어려움): 국가·의뢰인 보호, 기밀·법적차량 관련 공개정보 분석 / 정경학과 계열로 추정
호텔컨시어지: 호텔 내에서 다양한 서비스와 고객이 필요로 하는 정보를 제공 / 호텔경영학과
토너먼트 최종 선택: 호텔컨시어지 (선택 이유는 판독이 다소 어려우나 '단정함이 탁월해 잘 대응한다'는 취지로 적혀 있음 — 원래 '스포츠트레이너'라고 썼다가 취소선을 긋고 '호텔컨시어지'로 수정함)
포기 이유(스포츠 계열): 운동 관련 지식이 아직 부족해서
2단계 선택이유: 스포츠트레이너-순발력·판단력은 좋으나 (다른 역량은) 아쉬움 / 호텔컨시어지-배려심·기억력이 뛰어나서</t>
        </is>
      </c>
      <c r="E9" s="5" t="inlineStr">
        <is>
          <t>최종 관심직업을 '스포츠트레이너'에서 '호텔컨시어지'로 직접 수정한 흔적이 있어, 이 시점에 진로를 재고했음을 보여줌 — 1-6·1-7차시의 호텔 관련 내용과 일관됨</t>
        </is>
      </c>
      <c r="F9" s="5" t="inlineStr">
        <is>
          <t>3번째 직업명과 일부 선택이유 필체 판독 어려움</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호텔 컨시어지
본인 예측: 대체될 것 같은 일-서비스 제공, 호텔 예약, 번역 / 협업할 것 같은 일-청소, VIP 관리 / 절대 대체 불가-화난 손님을 대하는 공감(강점으로 동그라미)
AI 실습 결과: 대체가능-번역, 숙박·물품 보관 및 갱신 처리, 예약 접수·대행 / 협업-VIP 고객관리, 수요 예측 서비스, 초개인화 맞춤형 일정 설계 / 절대 불가-공감, 예외 상황 및 위기관리, 지역 네트워크 기반의 독점적 서비스
예측 비교: 'AI 예측과 내 예측이 비슷했다'에 체크, 달랐던 점: '청소'
나만의 강점: 공감
미래 명함 슬로건: 'AI가 [안전관리]하는 동안, 나는 [특별한 경험을 제공]한다'
모둠토론(박주빈, 임성미-체육교사, 나현수-유치원교사, 조준호-호텔컨시어지): 본인 항목에 '공감' 기재
모둠 공통결론: 'AI가 절대 못하는 건 학생의 감정을 진심으로 공감하고, 학생과 인간적인 신뢰관계를 형성하는 것이다'</t>
        </is>
      </c>
      <c r="E10" s="5" t="inlineStr">
        <is>
          <t>1-5차시에서 수정을 거쳐 정한 '호텔컨시어지'가 이 차시에서도 일관되게 유지됨</t>
        </is>
      </c>
      <c r="F10" s="5" t="inlineStr">
        <is>
          <t>-</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호텔컨시어지학과(호텔경영관리 계열) / 관심 대학: 경기대
학과 개요: 고객에게 최고의 서비스를 제공하는 것을 전공한다고 짧게 서술
적성·흥미 연결: '내가 가지고 있는 강점은 성실함, 꼼꼼함이다'
고교 관련 과목: 사회, 영어, 국어
대학 주요 교과목: 호텔경영, 카지노딜러 관련 과목 등
취득 가능 자격증: 호텔경영사, 호텔관리사, 조주기능사
졸업 후 진출분야: 항공서비스, 안내데스크
지금부터 노력할 것: '영어 공부 많이 하기'</t>
        </is>
      </c>
      <c r="E11" s="5" t="inlineStr">
        <is>
          <t>희망 진로(호텔컨시어지)와 학과 탐색 방향이 1-5·1-6차시와 일관됨</t>
        </is>
      </c>
      <c r="F11" s="5" t="inlineStr">
        <is>
          <t>학과 전망(취업률)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전형별 모집 인원과 수능 최저학력기준 유무(O/X)만 표시했고, 전형 요소·반영 비율 등 세부 내용은 공란</t>
        </is>
      </c>
      <c r="E12" s="5" t="inlineStr">
        <is>
          <t>이번 활동지 중 1-8차시 내용이 가장 간략함</t>
        </is>
      </c>
      <c r="F12" s="5" t="inlineStr">
        <is>
          <t>전형 요소 및 반영 비율, 반영교과 표, 전형 적합도 별점, 도전 전형 선택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첨단융합학부
학업역량: 1순위 B(수정 흔적, 이유: 자기 역량을 많이 계발하려 활동에 적극 참여했고 학업역량도 꾸준히 늘고 있음), 2순위 C, 3순위 A
진로역량: 1순위 C(이유: 진로 관련 여러 활동을 열심히 함), 2순위 B, 3순위 A
공동체역량: 1순위 A(이유: 다양한 동아리 활동에서 어려움을 겪는 친구를 먼저 나서서 도와주는 등 공동체에서 모범을 보였고 책임감 있는 모습을 보임), 2순위 C, 3순위 B
예상결과: A(취소선)-B-C / 실제결과: A-B-C (일치)
느낀 점: 'A는 성적도 좋지만 그 외에 개인 활동을 열심히 했다는 게 느껴짐'
배운 점: '나도 개인 활동을 많이 해봐야겠다'</t>
        </is>
      </c>
      <c r="E13" s="5" t="inlineStr">
        <is>
          <t>예상과 실제 결과가 일치했고, 근거를 매우 구체적으로 서술함</t>
        </is>
      </c>
      <c r="F13" s="5" t="inlineStr">
        <is>
          <t>-</t>
        </is>
      </c>
    </row>
    <row r="14" ht="140"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습관형성
트랙 선택 이유: 물리치료사라는 진로가 있지만 되기 위한 생활 습관의 개선이 필요하고, 미래를 위한 실천이 필요하기 때문이다(일부 추정)
[A 주제탐구 칸에 작성] 관심 분야: 물리치료사, 재활운동기기 개발자, AI 재활로봇 및 웨어러블 디바이스 엔지니어 / 이유: 마사지를 부모님께 해드리면서 관심이 생겼다
[C 습관형성] 작성란: 공란
2쪽(8차시 계획·한 줄 다짐): 전부 공란</t>
        </is>
      </c>
      <c r="E14" s="5" t="inlineStr">
        <is>
          <t>희망 진로를 '물리치료사'로 새로 밝힘(1학기: 스포츠트레이너·호텔컨시어지) — 부모님께 마사지를 해드린 경험이 계기. 재활로봇 등 공학 융합 직업까지 확장해 적은 점이 눈에 띔. 습관이 진로 실현에 필요하다는 연결을 스스로 함</t>
        </is>
      </c>
      <c r="F14" s="5" t="inlineStr">
        <is>
          <t>습관형성 작성란(C), 8차시 계획, 다짐 미기재</t>
        </is>
      </c>
    </row>
    <row r="15" ht="308"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미기재)
최근 목표: 매일 공부하기 / 계획: 아침마다 침구 정리하기
자기평가: 목표 달성 '보통', 계획 실행 '보통' — 이유: 침구 정리를 했다가 안 했다가 하고, 목표도 했다 안 했다 하기 때문이다
장애물 → 개선방안: ①시간표가 없어서 불안정한 시간을 보냄 → 시간표를 짠다 ②자는 시간이 매번 달라서 일어나는 시간도 다름(판독 다소 어려움) → 적절한 시간 때에 취침을 한다
SMART 목표: 매일 공부하기
· S: 하루가 끝나기 전에 어렵게 학습했던 과목 복습하기
· M: 매일 복습한 것과 학습한 것을 잘 익혔는지 1주에 한 번 정리를 해본다
· A: 복습할 때 전자기기 치우기
· R: 복습을 해서 평균 모든 과목 점수를 10점 이상 올린다
· T: 대학 생활 전 또는 고등학생 생활 전까지 유지하기
인증 방법: 습관 기록 앱·캘린더 캡처 / 최종 확인 방법: 미기재</t>
        </is>
      </c>
      <c r="E15" s="5" t="inlineStr">
        <is>
          <t>생활 리듬(취침·기상 시간 불규칙, 시간표 부재)을 스스로 장애물로 짚어낸 점이 눈에 띔. 기한(T)이 '대학 생활 전까지'로 매우 길어, 2주 트래커 기간에 맞는 단기 점검 주기 설정 지도 권장</t>
        </is>
      </c>
      <c r="F15" s="5" t="inlineStr">
        <is>
          <t>최종 확인 방법, 6번 최종 습관 목표 미기재</t>
        </is>
      </c>
    </row>
    <row r="16" ht="320"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 이번 주 목표: 공부 꾸준히 하기 / 확인(인증) 방법: 시작 시간과 끝 시간을 체크하고 메모한다
· 월: 하루가 끝나기 전에 50분~1시간 동안 복습함(판독 추정, 한 줄: '잘했다') / 화: 아침 자습 시간에 1시간 동안 공부했다('조금 피곤했다') / 수: 학원에서 3시간 동안 공부했다('열심히 했다') / 토: 학원에서 2시간 동안 자습했다('힘들었다') / 일: 학원에서 보충하고 집에서 복습했다('공부한 느낌이 들었다')
· 목·금: 비어 있음 / 인증 칸 체크 없음
· 이번 주 실천 일수: 5일 / 7일
· 느낀 점: '공부하는 시간을 늘리고 복습을 더 해야겠다.'</t>
        </is>
      </c>
      <c r="E16" s="5" t="inlineStr">
        <is>
          <t>5일 실천하며 매일 시간을 기록함. 다만 이번 주 목표가 '공부 꾸준히 하기'로 막연하고, 2차시 목표(어려웠던 과목 복습)와 달리 학원 공부 시간이 섞여 있어 '스스로 복습한 시간'만 따로 기록하도록 안내하면 좋겠음.</t>
        </is>
      </c>
      <c r="F16" s="5" t="inlineStr">
        <is>
          <t>목·금 기록 없음 / 인증(시작·끝 시간) 기록 없음 / 목표가 막연함</t>
        </is>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10122 채흔희)</t>
        </is>
      </c>
    </row>
    <row r="2">
      <c r="A2" s="2" t="inlineStr">
        <is>
          <t>※ 이번에 받은 스캔본은 1-1차시(진로수업 OT)와 1-5차시(최고 관심 직업 선정하기) 두 장뿐입니다. 1-2/3, 1-4, 1-6~1-8차시 스캔본은 아직 없어 표에 포함하지 않았습니다.</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미기재
자기소개: 꿈은 수의사다(참), 강아지·고양이 미용에 관심이 있었다(참) / 육상 선수 생활을 했었다(참), 키 160 이하·MBTI ESTJ는 상대적으로 사실이 아닌 쪽으로 표시됨
진로탐색 태도: '자신있게 말할 수 있다'·'열심히 노력한다'·'가족과 구체적으로 이야기 나눈다'·'공부 필요성을 알고 노력한다'는 모두 '그렇다', 상담 경험은 '그렇지 않다'
상담 상대: 부모나 친척 / 진로결정 중요 기준: 나의 소질과 적성 / 정보탐색: 인터넷 검색
노력: 흥미와 적성을 찾기 위한 비교과 활동 참여 / 어려운 점: 나의 특성(흥미·적성·가치관·성격 등)을 몰라서
가장 중요한 약속: '연결'(이유: 꿈에 맞는 직업을 이룰 수 있도록 더 노력하겠다는 취지)
새롭게 깨달은 점: 판독 어려움(원본 확인 권장)
다짐 5글자: '이미지관리'</t>
        </is>
      </c>
      <c r="E5" s="5" t="inlineStr">
        <is>
          <t>1-1차시에서 이미 '꿈은 수의사'라고 명확히 밝혔고, '강아지·고양이 미용에 관심이 있었다'는 점도 함께 언급함 — 이후 1-5차시의 '애견미용사' 선택과 방향이 일치함(동물 관련 진로 관심이 뚜렷하고 일관됨)</t>
        </is>
      </c>
      <c r="F5" s="5" t="inlineStr">
        <is>
          <t>진진가 퀴즈 정답, 새롭게 깨달은 점 일부 판독 어려움</t>
        </is>
      </c>
    </row>
    <row r="6" ht="110" customHeight="1">
      <c r="A6" s="4" t="inlineStr">
        <is>
          <t>1-5</t>
        </is>
      </c>
      <c r="B6" s="5" t="inlineStr">
        <is>
          <t>최고 관심 직업 선정하기</t>
        </is>
      </c>
      <c r="C6" s="5" t="inlineStr">
        <is>
          <t>4~5차시 활동을 종합해 관심 있는 직업 정보를 정리하고 토너먼트를 통해 최고 관심 직업을 선정하는 차시</t>
        </is>
      </c>
      <c r="D6" s="5" t="inlineStr">
        <is>
          <t>직업 정보표에는 '애완동물미용사' 한 개 직업만 작성함: 하는 일-다양한 동물의 위생과 청결을 관리하고, 동물의 특성과 개성을 파악해 단점은 보완하고 장점은 극대화함으로써 동물이 행복할 수 있도록 관리하는 역할 / 필요능력-자격증(필기→실기) / 관련학과-애완동물미용과, 애완동물학과, 애완동물뷰티과, 애완동물관리과
토너먼트 최종 선택: 애견미용사 (선택 이유: 직업 만족도가 제일 높은 직업이며, 앞으로 반려동물을 키우는 사람이 더 많아질 것이고 AI 등이 대체하기 어려운 직업이라서)</t>
        </is>
      </c>
      <c r="E6" s="5" t="inlineStr">
        <is>
          <t>1-1차시의 '수의사'라는 꿈에서, 이 차시에서는 좀 더 구체적으로 '애견미용사'라는 직업으로 좁혀졌음 — 동물을 돌보고 싶다는 큰 방향은 일관되게 유지되면서 구체적인 직업으로 정교화되는 과정으로 보임. 다만 토너먼트 브래킷은 완성하지 않고 최상단 선택만 기재함</t>
        </is>
      </c>
      <c r="F6" s="5" t="inlineStr">
        <is>
          <t>4개 직업 비교표 중 3칸 공란, 포기이유·하위 브랜치·최종 4개 직업 목록 미기재</t>
        </is>
      </c>
    </row>
    <row r="7" ht="160" customHeight="1">
      <c r="A7" s="4" t="inlineStr">
        <is>
          <t>2-2</t>
        </is>
      </c>
      <c r="B7" s="5" t="inlineStr">
        <is>
          <t>나도 입학사정관</t>
        </is>
      </c>
      <c r="C7" s="5" t="inlineStr">
        <is>
          <t>서울대 아로리 합격생 학생부 정성평가(학업·진로·공동체역량) 및 조별 토의</t>
        </is>
      </c>
      <c r="D7" s="5" t="inlineStr">
        <is>
          <t>평가사례: 2024년 / 선택학과: 조선해양공학과
학업역량·진로역량·공동체역량 전체 미기재
예상결과·실제결과: 미기재 / 느낀 점·배운 점: 미기재(여백에 낙서만 있음)</t>
        </is>
      </c>
      <c r="E7" s="5" t="inlineStr">
        <is>
          <t>학번·이름·평가사례(년도, 학과)만 기재하고 나머지 활동 내용은 전혀 작성하지 않음 — 해당 시간에 활동을 진행하지 못한 것으로 보임</t>
        </is>
      </c>
      <c r="F7" s="5" t="inlineStr">
        <is>
          <t>기본 정보를 제외한 전 항목 미기재</t>
        </is>
      </c>
    </row>
    <row r="8" ht="154" customHeight="1">
      <c r="A8" s="4" t="inlineStr">
        <is>
          <t>P-1</t>
        </is>
      </c>
      <c r="B8" s="5" t="inlineStr">
        <is>
          <t>[개별프로젝트 1차시] 3종 트랙 탐색·선택 및 8차시 개인 계획서</t>
        </is>
      </c>
      <c r="C8" s="5" t="inlineStr">
        <is>
          <t>주제탐구·진로독서·습관형성 3개 트랙의 특징을 비교해 1개를 선택하고, 선택 트랙 작성란(A 주제탐구 / B 진로독서 / C 습관형성)에 초기 아이디어를 구상한 뒤 8차시 세부 계획과 한 줄 다짐 작성</t>
        </is>
      </c>
      <c r="D8" s="5" t="inlineStr">
        <is>
          <t>선택 트랙: 습관형성
트랙 선택 이유: 미기재
[C 습관형성] 닮고 싶은 습관: 약속시간 지키기 ㅅㅅ
습관이 진로에 중요한 이유: 할 일을 약속된 시간에 맞게 하기 위해서
개선하고 싶은 습관: 약속시간 (지키기 — 뒷부분 지움)
8차시 계획·한 줄 다짐: 공란
기타: 뒷장 아래에 크게 'with 양예진' 기재, 첫 장 위쪽 여백 낙서</t>
        </is>
      </c>
      <c r="E8" s="5" t="inlineStr">
        <is>
          <t>약속시간 지키기라는 1차시 방향이 2차시 '제시간에 학원 가기'로 구체화됨. 짝 양예진과 함께 활동</t>
        </is>
      </c>
      <c r="F8" s="5" t="inlineStr">
        <is>
          <t>트랙 선택 이유, 8차시 계획, 한 줄 다짐 미기재</t>
        </is>
      </c>
    </row>
    <row r="9" ht="280" customHeight="1">
      <c r="A9" s="4" t="inlineStr">
        <is>
          <t>P-2</t>
        </is>
      </c>
      <c r="B9" s="5" t="inlineStr">
        <is>
          <t>[개별프로젝트 2차시·습관형성] 나를 돌아보고, 목표 세우기</t>
        </is>
      </c>
      <c r="C9" s="5" t="inlineStr">
        <is>
          <t>원인분석+목표설정: 최근 목표·계획 자기평가 → 실천 장애물과 개선방안 → SMART 기법으로 습관 목표 구체화 → 인증 방법 결정 → 모둠 의견 후 최종 습관 목표</t>
        </is>
      </c>
      <c r="D9" s="5" t="inlineStr">
        <is>
          <t>선택 트랙: 습관형성 (함께한 친구: 양예진)
최근 목표: 약속 시간에 늦지 않고 정해진 시간에 맞춰 도착하기 / 계획: 약속 시간 10분 전에 도착할 수 있도록 미리 준비하고 출발 시간을 확인한다
자기평가: 목표 달성 '만족', 계획 실행 '만족' — 이유: 약속 시간을 미리 확인하고 준비하는 습관을 들이면서 예전보다 늦는 일이 줄었기 때문이다
장애물 → 개선방안: ①준비를 늦게 시작해서 출발 시간이 늦어짐 → 약속 전날 필요한 물건 미리 준비 ②시간을 확인하지 않고 있다가 늦어짐 → 알람을 설정하고 출발 시간을 미리 정한다
SMART 목표: 화~금 6시까지 학원
· S·M: 처음 쓴 내용을 지우고 '제시간 학원 앞에서 인증샷'으로 대체
· A: 지금부터 6시까지 가기
· R: 6시까지 늦지 않고 학원 가기
· T: 실기 보기 전까지 실천
인증 방법: 습관 기록 앱·캘린더 캡처, 짝(동료)에게 매일 확인받기 / 최종 확인 방법: 친구에게 확인
최종 습관 목표: 학원 시간 제시간에 가기</t>
        </is>
      </c>
      <c r="E9" s="5" t="inlineStr">
        <is>
          <t>이미 일부 개선을 경험했다고 스스로 평가함(늦는 일이 줄었음). T 항목의 '실기 보기 전까지'는 1학기 1-5에서 적었던 애완동물미용사 자격증(필기→실기) 준비와 연결되는 것으로 보임(추정). 뒷면 여백에 낙서(고양이 얼굴·비구름 그림, 'with 예진')가 있음</t>
        </is>
      </c>
      <c r="F9" s="5" t="inlineStr">
        <is>
          <t>S·M 항목 원문을 지우고 다시 씀(최종 내용만 정리)</t>
        </is>
      </c>
    </row>
    <row r="10" ht="247" customHeight="1">
      <c r="A10" s="4" t="inlineStr">
        <is>
          <t>P-3</t>
        </is>
      </c>
      <c r="B10" s="5" t="inlineStr">
        <is>
          <t>[개별프로젝트 3차시·습관형성] 습관 실천 — 1주차 습관 기록표</t>
        </is>
      </c>
      <c r="C10" s="5" t="inlineStr">
        <is>
          <t>이번 주 목표와 확인(인증) 방법 정하기, 요일별 실천 내용·실천/인증 체크·오늘의 한 줄(동료 응원) 기록, 실천 일수와 한 주 소감 작성</t>
        </is>
      </c>
      <c r="D10" s="5" t="inlineStr">
        <is>
          <t>[습관형성] 1주차 습관 기록표
· 이번 주 목표: 제시간에 학원 가기 / 확인(인증) 방법: 학원 내부 시계와 같이 사진
· 화·수: '6시까지 감'(한 줄: '앞으로 이대로 가기') / 목·금: 추석 연휴 / 토·일: '주말은 안 감'('쉬기') / 월: 비어 있음
· 이번 주 실천 일수: 2일 / 7일
· 느낀 점: '인증을 안 했다'</t>
        </is>
      </c>
      <c r="E10" s="5" t="inlineStr">
        <is>
          <t>2차시 목표(화~금 6시까지 학원 가기)대로 학원 가는 날(화·수)은 모두 지킴. 연휴·주말을 빼면 사실상 목표를 달성했으나 인증은 하지 않았다고 적음. 느낀 점이 한 줄이라 다음 주엔 소감을 조금 더 쓰도록 격려.</t>
        </is>
      </c>
      <c r="F10" s="5" t="inlineStr">
        <is>
          <t>월요일 기록 없음 / 인증 사진 미실시 / 느낀 점이 한 줄</t>
        </is>
      </c>
    </row>
  </sheetData>
  <mergeCells count="2">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10123 최유나)</t>
        </is>
      </c>
    </row>
    <row r="2">
      <c r="A2" s="2" t="inlineStr">
        <is>
          <t>※ 활동지 스캔본(PDF)을 바탕으로 정리.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미기재
자기소개: 언니·오빠가 있다, 고양이를 키운다, 남자친구가 없다 / INTP이다(거짓 표시), 한국인이다, 노래를 좋아한다
진로탐색 태도: '자신있게 말할 수 있다'는 '그렇다', 상담 경험은 '매우 그렇다'(최고), '공부 필요성을 알고 노력한다'는 '그렇지 않다'
상담 상대: 교사 / 진로결정 중요 기준: 나의 소질과 적성 / 정보탐색: 진로 상담
노력: 진로 상담을 통한 진로 탐색 활동 참여
자유 서술: '적성흥미검사 같은 것들을 많이 해서 AI에 대해 더 알아가고 싶고, 예체능 계열에 대해서도 알고 싶다'
가장 중요한 약속: '연결'(이유: 내 미래와 방향이 가까이 있을 수 있는 진로 시간에 연결하는 것을 열심히 해야 한다고 생각함)
새롭게 깨달은 점: 필체 판독 어려움(진로 결정의 중요성 관련 문구로 추정)
다짐 5글자: 필체 판독 어려움</t>
        </is>
      </c>
      <c r="E5" s="5" t="inlineStr">
        <is>
          <t>자유 서술에서 'AI'와 '예체능 계열'을 둘 다 알아보고 싶다고 언급함 — 아직 관심 분야가 넓게 열려 있는 상태로 보이며, 이는 이후 1-4차시의 여러 차례 수정 흔적과도 맥락이 통함</t>
        </is>
      </c>
      <c r="F5" s="5" t="inlineStr">
        <is>
          <t>진진가 퀴즈 정답, 새롭게 깨달은 점, 다짐 5글자 판독 어려움</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합산(비중 40~60%), 졸업 총 192학점, 2학년 때부터 (진로)에 맞게 과목 선택, 1학년 여름방학까지 희망 계열 정하기 권장
세특 핵심: 세부능력 및 특기사항, 학생 태도는 '수업에 적극적으로 참여'
창체 영역: 자율활동/동아리활동/행동특성 및 종합의견까지 모두 기재
2028수능 공통과목화, 정시에도 내신 반영 대학 증가, '역전'·'주도성' 개념까지 모두 정확히 기재</t>
        </is>
      </c>
      <c r="E6" s="5" t="inlineStr">
        <is>
          <t>이 빈칸학습은 거의 완벽하게 채워짐</t>
        </is>
      </c>
      <c r="F6" s="5" t="inlineStr">
        <is>
          <t>느낀점/다짐 서술형 문항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등급컷 계산(277명 기준): 답만 기재(1등급 28등, 2등급 94등, 3등급 183등, 4등급 249등, 계산과정은 4등급 부분만 확인됨)
3번 문항(동점자·세특·NEIS 질문) 전체 공란, 목표점수 표 전체 공란
4/8~4/20 학습 계획표 전체 공란(요일만 표기)</t>
        </is>
      </c>
      <c r="E7" s="5" t="inlineStr">
        <is>
          <t>등급 계산 결과 외에는 전체적으로 공란이 많음</t>
        </is>
      </c>
      <c r="F7" s="5" t="inlineStr">
        <is>
          <t>3번 문항, 목표점수 표, 학습계획표 전체 미기재</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강점진로검사 1~3순위: ①유머(조지 버나드 쇼/개인미디어콘텐츠 제작자·레크리에이션 강사·예능작가) ②사교성(프란츠 리스트/소셜미디어 마케터·방송진행자·여행가이드) ③공감(마더 테레사/동물매개 심리치료사·상담전문가)
핵심 강점 칸은 공란
MIT 전공흥미검사: 희망전공란에 수정한 흔적이 여러 번 있어(취소선·다시 쓰기) 정확한 최종 순위 확인이 다소 어려우나, 추천전공은 1순위 경영·경제(경영전문전략가·회계사 / 경영학과·경제학과), 2순위 약학(의사·약학연구원·한약사 / 약학과·제약학과), 3순위 간호(간호사·직업치료사 / 간호학과)로 기재됨
희망전공-추천전공 일치 여부 서술: '확실한 건 교사이지만, 나의 특성과는 경영·경제 쪽이 가까운 것 같지 않다'는 취지로 다소 혼란스러운 서술을 함
선호 직무유형은 공란 / 중요 직업가치 1~3순위: 경제적 풍족 &gt; 안정성 &gt; 사회적 인정</t>
        </is>
      </c>
      <c r="E8" s="5" t="inlineStr">
        <is>
          <t>희망 전공란의 여러 수정 흔적과 '확실한 건 교사이지만'이라는 서술로 볼 때, 이 시점에 진로에 대한 고민과 혼란이 있었던 것으로 보임 — 1-1차시의 'AI·예체능 모두 알아보고 싶다'는 개방적 태도와도 맥락이 통함</t>
        </is>
      </c>
      <c r="F8" s="5" t="inlineStr">
        <is>
          <t>핵심 강점, 선호 직무유형 미기재, 희망전공 순위 다수 수정 흔적으로 확인 어려움</t>
        </is>
      </c>
    </row>
    <row r="9" ht="110" customHeight="1">
      <c r="A9" s="4" t="inlineStr">
        <is>
          <t>1-5</t>
        </is>
      </c>
      <c r="B9" s="5" t="inlineStr">
        <is>
          <t>최고 관심 직업 선정하기</t>
        </is>
      </c>
      <c r="C9" s="5" t="inlineStr">
        <is>
          <t>4~5차시 활동을 종합해 관심 직업 4개(약사·간호사·중등교사·초등교사) 정보 정리 후 토너먼트로 최종 관심직업 선정</t>
        </is>
      </c>
      <c r="D9" s="5" t="inlineStr">
        <is>
          <t>약사: 약국이나 제약회사에서 의사가 처방한 약을 조제해 환자에게 전달 / 약학과·제약공학과·한약학과
간호사: 환자의 혈압·맥박·체온 등 상태를 파악해 관리 / 간호학과·간호학부·전문간호학과
중등교사: 학생의 수준과 특성을 고려해 지도 / 사범대학 등 교육 관련학과
초등교사: 초등학생 대상 수업과 생활지도 / 교육대학교 초등교육과
토너먼트 최종 선택: 간호사 (선택 이유: 간호사 특직으로 가서 보건 요양 일을 해보고 싶다 / 약사 포기 이유: 미래가 더 보장되는 쪽이 좋아서 간호사를 선택)
2단계 선택이유: 간호사-약사와 비교했을 때 약사는 정직하게 노력을 써야 한다고 생각해서 간호사 선택 / 중등교사-요즘 수학에 관심이 없어서 초등교사보다 중등교사 선택(문구 다소 판독 어려움)</t>
        </is>
      </c>
      <c r="E9" s="5" t="inlineStr">
        <is>
          <t>최종 관심직업으로 '간호사'가 선정됨. 다만 1-1·1-4차시에서 보인 폭넓은 관심(AI, 예체능, 교사, 경영 등)과 비교하면, 이 시점의 선택이 다소 급하게 정리된 인상이 있어 후속 상담에서 확인해보면 좋을 것 같음</t>
        </is>
      </c>
      <c r="F9" s="5" t="inlineStr">
        <is>
          <t>-</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이번 스캔본에는 1-6차시 활동지가 포함되어 있지 않아 정리할 내용이 없음</t>
        </is>
      </c>
      <c r="E10" s="5" t="inlineStr">
        <is>
          <t>-</t>
        </is>
      </c>
      <c r="F10" s="5" t="inlineStr">
        <is>
          <t>1-6차시 스캔본 누락 — 추후 확보 시 추가 정리 필요</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탐색할 학과, 관심 대학을 포함한 전 항목이 공란(학번·이름만 기재됨)</t>
        </is>
      </c>
      <c r="E11" s="5" t="inlineStr">
        <is>
          <t>이번 활동지 중 유일하게 전 항목이 공란인 사례 — 해당 차시에 활동을 진행하지 못한 것으로 보임</t>
        </is>
      </c>
      <c r="F11" s="5" t="inlineStr">
        <is>
          <t>전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학번·이름을 포함한 전 항목이 공란</t>
        </is>
      </c>
      <c r="E12" s="5" t="inlineStr">
        <is>
          <t>이 활동지 전체가 미기재 상태 — 해당 차시에 결석했거나 활동을 진행하지 못했을 가능성이 있음</t>
        </is>
      </c>
      <c r="F12" s="5" t="inlineStr">
        <is>
          <t>전 항목 미기재</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2024년 / 선택학과: 조선해양공학과
학업역량: 1순위 C(이유: 역량이 높고 과학 교과 이수가 좋았음), 2순위 B, 3순위 A(이유: 국어 성적이 너무 낮았음)
진로역량: 1순위 표시만 있고 이유 미기재, 2·3순위 미기재
공동체역량: 1순위 C(이유: 리더십을 발휘한 역할을 했음, A는 동아리에서 임팩트가 있었으나 B는 A·C와 달리 소극적이었음), 2순위 A, 3순위 B
예상결과·실제결과: 미기재 / 느낀 점·배운 점: 미기재(여백에 낙서만 있음)</t>
        </is>
      </c>
      <c r="E13" s="5" t="inlineStr">
        <is>
          <t>진로역량 항목과 예상/실제 결과, 느낀점/배운점을 완성하지 못함</t>
        </is>
      </c>
      <c r="F13" s="5" t="inlineStr">
        <is>
          <t>진로역량 이유, 예상·실제결과, 느낀점·배운점 미기재</t>
        </is>
      </c>
    </row>
    <row r="14" ht="154"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습관형성
트랙 선택 이유: 나는 평소 어떤 것을 할 때 집중을 제대로 못하는 편인데 그런 부분을 고쳐보고 싶었다
[C 습관형성] 닮고 싶은 사람과 습관: BTS RM – 운동과 독서를 꾸준히 하며 자기관리하는 습관
습관이 진로에 중요한 이유: 좋은 습관은 노력하고 목표를 이루는 데에 도움을 주기 때문이다
개선하고 싶은 습관: 하나의 일에 집중하지 못하는 것
8차시 계획: 공란
한 줄 다짐: 꼭 열심히 해 내가 원하는 것을 이룰 것이다</t>
        </is>
      </c>
      <c r="E14" s="5" t="inlineStr">
        <is>
          <t>닮고 싶은 인물(BTS RM)과 습관을 구체적으로 제시함. '집중력' 문제의식이 1차시부터 2차시(휴대폰 없이 20분 집중)까지 일관됨</t>
        </is>
      </c>
      <c r="F14" s="5" t="inlineStr">
        <is>
          <t>8차시 계획 미기재</t>
        </is>
      </c>
    </row>
    <row r="15" ht="364"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없음으로 표시)
최근 목표: 한 가지 일에 집중하는 습관 만들기 / 계획: 매일 20분 동안 다른 일을 하지 않고 한 가지 일에 집중하기
자기평가: 목표 달성 '보통', 계획 실행 '만족' — 이유: 20분 동안 한 가지 일에 집중하려고 노력했지만 가끔 다른 생각이 나거나 집중이 흐트러질 때가 있다
장애물 → 개선방안: ①중간에 다른 생각이 난다 → 해야 할 일을 미리 정하기 ②휴대폰을 보고 싶어진다 → 20분 동안 휴대폰은 다른 공간에 따로 두기
SMART 목표(여러 차례 수정 후 최종): 영어 단어 외우기
· S: 매일 영어 단어 10개를 20분 동안 외운다
· M: 10개 단어를 외운 뒤 뜻을 가리고 10개 중 몇 개를 맞혔는지 기록한다
· A: 하루 10개씩 외우면 부담 없이 실천할 수 있다
· R: 매일 20분 동안 10개를 외워 단어 수준을 올린다
· T: 2주 동안 매일 실천한다
인증 방법: 사진 촬영, 기타(친구에게 인증) / 최종 확인 방법: 20분 동안 실천 후 사진을 찍고 친구에게 보내서 확인받기
최종 습관 목표: 2주 동안 매일 20분 동안 휴대폰을 보지 않고 한 가지 일에 집중하는 습관을 만든다</t>
        </is>
      </c>
      <c r="E15" s="5" t="inlineStr">
        <is>
          <t>처음의 막연한 '집중' 목표를 SMART 단계에서 '영어 단어 10개·20분·자기 테스트'로 구체화하기 위해 여러 번 고쳐 쓴 흔적이 뚜렷함 — 목표 구체화 과정이 가장 잘 드러난 사례</t>
        </is>
      </c>
      <c r="F15" s="5" t="inlineStr">
        <is>
          <t>수정 흔적이 많아 최종 기재 내용 위주로 정리함</t>
        </is>
      </c>
    </row>
    <row r="16" ht="289"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 이번 주 목표: 단어 50개 이상 외우기(처음 쓴 내용은 지움) / 확인(인증) 방법: 친구에게 인증하고 검사 맡기
· 월: 실천 안 함 / 화: 단어 10개 외우기('잘 실천했다') / 수·목·금: 〃('꾸준히 화요일에 이어 외웠다', '조금 어려운 단어였지만 잘 외웠다', '집중해서 외웠다') / 토: 실천 안 함 / 일: 단어 10개 외우기('목표를 달성해 50개 외우기를 성공했다')
· 이번 주 실천 일수: 5일 / 7일
· 느낀 점: '나눠서 외워서 부담이 적고 꾸준히 할 수 있었으며 토요일에 외우지 못한 게 아쉽지만 목표인 50개는 넘겨서 뿌듯하고 습관이 형성되어 가고 있는 것 같다.'</t>
        </is>
      </c>
      <c r="E16" s="5" t="inlineStr">
        <is>
          <t>2차시 SMART 목표(휴대폰 없이 영어 단어 10개)를 그대로 실천해 주간 목표 50개를 달성함. '나눠서 하니 부담이 적다'는 스스로의 깨달음이 좋음.</t>
        </is>
      </c>
      <c r="F16" s="5" t="inlineStr">
        <is>
          <t>인증 칸 체크 없음</t>
        </is>
      </c>
    </row>
  </sheetData>
  <mergeCells count="2">
    <mergeCell ref="A2:F2"/>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34" customWidth="1" min="3" max="3"/>
    <col width="55" customWidth="1" min="4" max="4"/>
    <col width="26" customWidth="1" min="5" max="5"/>
    <col width="30" customWidth="1" min="6" max="6"/>
  </cols>
  <sheetData>
    <row r="1" ht="22" customHeight="1">
      <c r="A1" s="1" t="inlineStr">
        <is>
          <t>2026학년도 1학년 진로수업 차시별 활동 정리 (학번 10124 한지훈)</t>
        </is>
      </c>
    </row>
    <row r="2">
      <c r="A2" s="2" t="inlineStr">
        <is>
          <t>※ 활동지 스캔본(PDF)을 바탕으로 정리. 이번 스캔본에는 1-3차시(고등학교 내신 산출의 이해)와 1-4차시(자기 이해 검사 종합하기)가 포함되어 있지 않음. 필체 판독이 어렵거나 학생이 미기재한 항목은 '판독 어려움/미기재'로 표기함.</t>
        </is>
      </c>
    </row>
    <row r="4">
      <c r="A4" s="3" t="inlineStr">
        <is>
          <t>차시</t>
        </is>
      </c>
      <c r="B4" s="3" t="inlineStr">
        <is>
          <t>활동명</t>
        </is>
      </c>
      <c r="C4" s="3" t="inlineStr">
        <is>
          <t>학습목표/개요</t>
        </is>
      </c>
      <c r="D4" s="3" t="inlineStr">
        <is>
          <t>학생 응답 요약</t>
        </is>
      </c>
      <c r="E4" s="3" t="inlineStr">
        <is>
          <t>특이사항</t>
        </is>
      </c>
      <c r="F4" s="3" t="inlineStr">
        <is>
          <t>비고(미기재/확인필요)</t>
        </is>
      </c>
    </row>
    <row r="5" ht="110" customHeight="1">
      <c r="A5" s="4" t="inlineStr">
        <is>
          <t>1-1</t>
        </is>
      </c>
      <c r="B5" s="5" t="inlineStr">
        <is>
          <t>진로수업 OT</t>
        </is>
      </c>
      <c r="C5" s="5" t="inlineStr">
        <is>
          <t>자기소개, 진로활동 안내, 진로수업 약속 정하기</t>
        </is>
      </c>
      <c r="D5" s="5" t="inlineStr">
        <is>
          <t>진진가 퀴즈 정답: 미기재
자기소개: 외곽 쪽에 살아왔다, 학교에 버스 타고 간다(둘 다 참으로 보임) / 'MBTI는 ESTJ다'는 거짓으로 표시
진로탐색 태도: '자신있게 말할 수 있다'·'공부 필요성을 알고 노력한다'는 '보통이다', '열심히 노력한다'는 '그렇다', '가족과 구체적으로 이야기 나눈다'·'상담 경험이 있다'는 둘 다 '그렇지 않다'
상담 상대: 부모나 친척 / 진로결정 중요 기준: 나의 소질과 적성 / 정보탐색: 인터넷 검색
노력: 틈틈이 진로에 대한 정보를 수집 / 어려운 점: 생각하는 진로가 너무 많아 선택하기 어려워서
약속 체크, 새롭게 깨달은 점, 다짐 5글자 모두 미기재</t>
        </is>
      </c>
      <c r="E5" s="5" t="inlineStr">
        <is>
          <t>진로결정이 어려운 이유로 '생각하는 진로가 너무 많음'을 꼽음 — 관심사가 다양한 편으로 보임</t>
        </is>
      </c>
      <c r="F5" s="5" t="inlineStr">
        <is>
          <t>약속 체크, 새롭게 깨달은 점, 다짐 5글자 미기재</t>
        </is>
      </c>
    </row>
    <row r="6" ht="110" customHeight="1">
      <c r="A6" s="4" t="inlineStr">
        <is>
          <t>1-2 / 3(보충)</t>
        </is>
      </c>
      <c r="B6" s="5" t="inlineStr">
        <is>
          <t>나의 3년을 담는 기록장_학교생활기록부 + 수시·정시 이해 빈칸학습</t>
        </is>
      </c>
      <c r="C6" s="5" t="inlineStr">
        <is>
          <t>학교생활기록부 구성 안내 및 수시/정시, 학생부교과·종합, 고교학점제, 세특, 창체활동, 2028 수능 개편 관련 빈칸 채우기</t>
        </is>
      </c>
      <c r="D6" s="5" t="inlineStr">
        <is>
          <t>학생부(1-2) 작성란은 전부 공란(교사 제공 정보자료)
빈칸학습 답안: 핵심전형-학생부교과전형(내신위주)/학생부종합전형(내신+생기부), 수능 최저학력기준 존재 가능
내신 5등급제, 1등급 상위10%, 수행평가+지필평가 합산(비중 40~60%), 졸업 총 192학점, 2학년 때부터 (희망계열)에 맞게 과목 선택, 1학년 여름방학까지 희망 계열 정하기 권장
세특 핵심: 세부능력 및 특기사항(세특), '역전'·'주도성' 개념까지 모두 기재
창체 영역: 자율활동/동아리활동/행동특성 및 종합의견까지 모두 기재
2028수능 공통과목화까지 기재</t>
        </is>
      </c>
      <c r="E6" s="5" t="inlineStr">
        <is>
          <t>이 빈칸학습은 거의 완벽하게 채워짐</t>
        </is>
      </c>
      <c r="F6" s="5" t="inlineStr">
        <is>
          <t>느낀점/다짐 서술형 문항, '세특을 잘 채우기 위한 태도' 문항 미기재</t>
        </is>
      </c>
    </row>
    <row r="7" ht="110" customHeight="1">
      <c r="A7" s="4" t="inlineStr">
        <is>
          <t>1-3</t>
        </is>
      </c>
      <c r="B7" s="5" t="inlineStr">
        <is>
          <t>고등학교 내신 산출의 이해</t>
        </is>
      </c>
      <c r="C7" s="5" t="inlineStr">
        <is>
          <t>중·고 내신 산출방식 차이 이해 및 5등급제 계산 연습, 1차 정기고사 학습계획 수립</t>
        </is>
      </c>
      <c r="D7" s="5" t="inlineStr">
        <is>
          <t>이번 스캔본에는 1-3차시 활동지가 포함되어 있지 않아 정리할 내용이 없음</t>
        </is>
      </c>
      <c r="E7" s="5" t="inlineStr">
        <is>
          <t>-</t>
        </is>
      </c>
      <c r="F7" s="5" t="inlineStr">
        <is>
          <t>1-3차시 스캔본 누락 — 추후 확보 시 추가 정리 필요</t>
        </is>
      </c>
    </row>
    <row r="8" ht="110" customHeight="1">
      <c r="A8" s="4" t="inlineStr">
        <is>
          <t>1-4</t>
        </is>
      </c>
      <c r="B8" s="5" t="inlineStr">
        <is>
          <t>자기 이해 검사 종합하기</t>
        </is>
      </c>
      <c r="C8" s="5" t="inlineStr">
        <is>
          <t>POWER UP 강점진로검사, MIT 전공흥미검사 결과 정리, 핵심 강점 강화 방안 모색, 선호 직무유형·직업가치 파악</t>
        </is>
      </c>
      <c r="D8" s="5" t="inlineStr">
        <is>
          <t>이번 스캔본에는 1-4차시 활동지가 포함되어 있지 않아 정리할 내용이 없음</t>
        </is>
      </c>
      <c r="E8" s="5" t="inlineStr">
        <is>
          <t>-</t>
        </is>
      </c>
      <c r="F8" s="5" t="inlineStr">
        <is>
          <t>1-4차시 스캔본 누락 — 추후 확보 시 추가 정리 필요</t>
        </is>
      </c>
    </row>
    <row r="9" ht="110" customHeight="1">
      <c r="A9" s="4" t="inlineStr">
        <is>
          <t>1-5</t>
        </is>
      </c>
      <c r="B9" s="5" t="inlineStr">
        <is>
          <t>최고 관심 직업 선정하기</t>
        </is>
      </c>
      <c r="C9" s="5" t="inlineStr">
        <is>
          <t>4~5차시 활동을 종합해 관심 직업 4개(환경컨설턴트·소믈리에·푸드스타일리스트·GIS전문가) 정보 정리 후 토너먼트로 최종 관심직업 선정</t>
        </is>
      </c>
      <c r="D9" s="5" t="inlineStr">
        <is>
          <t>환경컨설턴트: 환경에 필요한 물·공기 관련 작업을 제안하고 환경 보호·문제 진단을 담당 / 환경학과
소믈리에: 고객의 취향을 파악해 술이나 음식을 추천 / 식품영양학과
푸드스타일리스트: 영화·광고에서 음식이 보기 좋게 조화를 이루도록 구성하는 역할 / 식품조리학과
GIS전문가: 지리 정보를 바탕으로 위치·자원 정보를 정리·분석 / 지리학과
토너먼트 최종 선택: 환경컨설턴트 (선택 이유: 환경은 우리 삶에 필요하고 긍정적 역할을 하기 때문에 이를 돕는 것이 중요하고 유익하다고 판단 / GIS전문가 포기 이유: 상대적으로 덜 직접적인 역할이라고 판단해 아쉬움이 있음)
2단계 선택이유: 환경컨설턴트-지구에 도움을 주며 지속적인 미래 가치를 지닌 활동이어서 / GIS전문가-다양한 정보를 정리·활용하는 중요한 역할을 가지고 있어서</t>
        </is>
      </c>
      <c r="E9" s="5" t="inlineStr">
        <is>
          <t>필체가 전반적으로 흐려 세부 서술 판독이 어려운 부분이 많음(원본 확인 권장). 1-6·1-7차시의 관심 방향과 비교해보면 진로가 아직 명확히 하나로 좁혀지지 않은 것으로 보임</t>
        </is>
      </c>
      <c r="F9" s="5" t="inlineStr">
        <is>
          <t>다수 문항 필체 판독 어려움</t>
        </is>
      </c>
    </row>
    <row r="10" ht="110" customHeight="1">
      <c r="A10" s="4" t="inlineStr">
        <is>
          <t>1-6</t>
        </is>
      </c>
      <c r="B10" s="5" t="inlineStr">
        <is>
          <t>미래 직업 세계와 AI: 내 직업은 어떻게 변할까?</t>
        </is>
      </c>
      <c r="C10" s="5" t="inlineStr">
        <is>
          <t>관심 직업에 대해 AI 대체/협업/대체불가 영역을 먼저 예측하고, AI 답변과 비교해 나만의 강점을 찾고 미래 명함을 제작</t>
        </is>
      </c>
      <c r="D10" s="5" t="inlineStr">
        <is>
          <t>5차시 최고관심직업: 상담사, 판사, 관리사 등 여러 직업을 함께 기재(1-5차시의 '환경컨설턴트'와는 다른 직업군)
본인 예측: 대체될 것 같은 일-상담사·관리사 / 협업할 것 같은 일-판사 / 절대 대체 불가-상담사
AI 실습 결과: 대체가능-의료적 심리치료사 / 협업-창작적인 작가 / 절대 불가-교육적 특수교사
예측 비교: 'AI가 못하는 부분이 내 생각보다 많았다'에 체크, 달랐던 점: '공감 기능이 창작적인 부분에서 AI가 협업하는 경우가 많았다'
나만의 강점: '감정으로 사랑하고 깊이 이해할 수 없는 것이 AI다'라는 취지로 서술함</t>
        </is>
      </c>
      <c r="E10" s="5" t="inlineStr">
        <is>
          <t>5차시 최고관심직업으로 1-5차시(환경컨설턴트)와는 전혀 다른 '상담·법률' 계열(상담사, 판사)을 적어, 이 시점까지도 여러 진로 사이에서 고민하고 있는 것으로 보임</t>
        </is>
      </c>
      <c r="F10" s="5" t="inlineStr">
        <is>
          <t>미래 명함, 모둠토론 직업란 미기재</t>
        </is>
      </c>
    </row>
    <row r="11" ht="110" customHeight="1">
      <c r="A11" s="4" t="inlineStr">
        <is>
          <t>1-7</t>
        </is>
      </c>
      <c r="B11" s="5" t="inlineStr">
        <is>
          <t>희망 학과(전공) 탐색하기</t>
        </is>
      </c>
      <c r="C11" s="5" t="inlineStr">
        <is>
          <t>2인 1조로 같은 학과를 온라인(커리어넷·고용24·학과바이블)에서 탐색하고 개인별로 활동지 작성</t>
        </is>
      </c>
      <c r="D11" s="5" t="inlineStr">
        <is>
          <t>탐색 학과: 환경학과 / 관심 대학: 미기재
학과 개요: 환경 관련 지식을 바탕으로 환경을 보호하고 문제를 진단하는 방법을 배운다는 취지로 서술
적성·흥미 연결: 환경 관련 지식을 잘 알고 있고, 환경 의식의 중요성을 느낀다고 서술
고교 관련 과목: 사회, 지구과학, 물리학
대학 주요 교과목: 기초화학, 환경학개론 등
취득 가능 자격증: 대기환경기사 / 졸업 후 진출분야: 기업체, 환경 관련 공공기관
학과 전망: 소득이 높은 편이며 대기·환경 관련 유해화학물질 분야 수요가 있다는 취지로 서술</t>
        </is>
      </c>
      <c r="E11" s="5" t="inlineStr">
        <is>
          <t>1-5차시(환경컨설턴트)와 방향이 일관되나, 1-6차시에서는 상담·법률 계열을 적어 진로 고민이 이어지고 있는 것으로 보임</t>
        </is>
      </c>
      <c r="F11" s="5" t="inlineStr">
        <is>
          <t>관심 대학, 지금부터 노력할 것 항목 미기재</t>
        </is>
      </c>
    </row>
    <row r="12" ht="110" customHeight="1">
      <c r="A12" s="4" t="inlineStr">
        <is>
          <t>1-8</t>
        </is>
      </c>
      <c r="B12" s="5" t="inlineStr">
        <is>
          <t>대입 전형 유형별 분석을 통한 나의 대학 진학 설계 (교과서 p.90)</t>
        </is>
      </c>
      <c r="C12" s="5" t="inlineStr">
        <is>
          <t>조별 사전 연습으로 특정 대학의 전형(학생부교과/종합/논술/정시) 요소를 분석하고, 전형별 적합도·준비도를 자가진단</t>
        </is>
      </c>
      <c r="D12" s="5" t="inlineStr">
        <is>
          <t>(조별 사전 연습 대상: 동국대학교 수학과, 자연계열 — 학급 공통 제시 자료)
학생부교과 '학교장추천인재'(4명, 일괄 학생부교과70%+교과관련영역 서류종합평가30%)
학생부종합 'Do Dream'(9명, 1단계 서류종합100%→2단계 면접40%+1단계성적60%)
논술(5명, 일괄 학생부30%(교과20%+출결10%)+논술70%)
정시 수능 나군(9명, 일괄 수능80%+학생부평가20%)</t>
        </is>
      </c>
      <c r="E12" s="5" t="inlineStr">
        <is>
          <t>조별 사전 연습(전형 요소 분석) 단계까지만 수행</t>
        </is>
      </c>
      <c r="F12" s="5" t="inlineStr">
        <is>
          <t>반영교과 표, 전형 적합도 별점, 도전 전형 선택 및 이유 모두 공란</t>
        </is>
      </c>
    </row>
    <row r="13" ht="160" customHeight="1">
      <c r="A13" s="4" t="inlineStr">
        <is>
          <t>2-2</t>
        </is>
      </c>
      <c r="B13" s="5" t="inlineStr">
        <is>
          <t>나도 입학사정관</t>
        </is>
      </c>
      <c r="C13" s="5" t="inlineStr">
        <is>
          <t>서울대 아로리 합격생 학생부 정성평가(학업·진로·공동체역량) 및 조별 토의</t>
        </is>
      </c>
      <c r="D13" s="5" t="inlineStr">
        <is>
          <t>평가사례: 2025년 / 선택학과: 컴퓨터공학부
학업역량: 1순위 B(이유: 리더십을 바탕으로 우수한 활동 경험과 다양한 전공 연구력을 갖췄고 책임감 있게 전공을 재구성해 나가는 모습이 돋보임), 2순위 C, 3순위 A
진로역량: 1순위 A(이유: 자신이 선택한 학과·진로에 애정을 갖고 성찰적으로 생각하며 실제 전공 심화 활동을 수행함), 2순위 B, 3순위 C
공동체역량: 1순위 C(이유: 친구들의 관점과 배경을 조화롭게 아우르며 공동체 안에서 책임감 있는 사람으로 기억됨), 2순위 B, 3순위 A
예상결과: (1순위 판독 어려움)-C-A / 실제결과: C-A-B
느낀 점: '개인의 생각과 전체의 의견이 다 다르게 생각하거나 바라보는 방법이 다양하기 때문에 누구나 다른 생각을 하고 차이가 있는 것을 알 수 있었다'
배운 점: '여러 가지의 탐구자의 태도와 심리가 다르므로'(문장이 끝맺어지지 않음)</t>
        </is>
      </c>
      <c r="E13" s="5" t="inlineStr">
        <is>
          <t>근거를 상세히 서술했으나 배운 점 문장이 끝맺어지지 않아 시간이 부족했을 가능성이 있음</t>
        </is>
      </c>
      <c r="F13" s="5" t="inlineStr">
        <is>
          <t>예상결과 1순위 판독 어려움, 배운 점 문장 미완성</t>
        </is>
      </c>
    </row>
    <row r="14" ht="350" customHeight="1">
      <c r="A14" s="4" t="inlineStr">
        <is>
          <t>P-1</t>
        </is>
      </c>
      <c r="B14" s="5" t="inlineStr">
        <is>
          <t>[개별프로젝트 1차시] 3종 트랙 탐색·선택 및 8차시 개인 계획서</t>
        </is>
      </c>
      <c r="C14" s="5" t="inlineStr">
        <is>
          <t>주제탐구·진로독서·습관형성 3개 트랙의 특징을 비교해 1개를 선택하고, 선택 트랙 작성란(A 주제탐구 / B 진로독서 / C 습관형성)에 초기 아이디어를 구상한 뒤 8차시 세부 계획과 한 줄 다짐 작성</t>
        </is>
      </c>
      <c r="D14" s="5" t="inlineStr">
        <is>
          <t>선택 트랙: 습관형성
트랙 선택 이유: 습관형성, 앞으로 원하는 진로와 대학을 이루려면 지금부터의 좋은 습관 형성 루틴을 바꾸어야 한다고 생각하기 때문이다
[A 주제탐구 칸에도 작성] 관심 분야: 인공지능, AI 연구원, 조립 / 이유: 인공지능이라는 자체에서 큰 흥미와 영감을 얻었고 인공지능에 대해 더 구체적으로 궁금했음 / 잠정 주제: 인공지능은 구체적으로 만들어지는 과정 / 인공지능은 우리에게 또 새 삶이 되는 영향 / 선택 이유: 인공지능이 처음 나왔을 때의 영향과, 인공지능이 있거나 없거나 했던 시대의 차이점을 탐구해보고 싶었다
[B 진로독서 칸에도 작성] 이유: 인공지능에 대해서 좀 더 자세히 명확하게 알고 싶어서 / 선정 기준: ①관심 분야 ②실제로 신뢰도가 있는 책 ③추천이 많은 책 / 후보: 『듀얼 브레인』, 『AI 신의 탄생』, 『인간의 종말』 등
[C 습관형성] 닮고 싶은 사람과 습관: AI 연구원의 꾸준히 약속·정해진 규칙 지키는 습관과 루틴 / 중요한 이유: 습관을 형성함으로써 앞으로 내가 사는 이 공간, 이 시간이 더 이익이 됨(추정) / 개선할 습관: 약속과 루틴을 적절하게 조절하고 보완하는 것
8차시 계획: 2차시 칸에 '새로'만 적고 나머지 공란
한 줄 다짐: 11시 안에 폰 두고 취침</t>
        </is>
      </c>
      <c r="E14" s="5" t="inlineStr">
        <is>
          <t>A·B·C 세 트랙 칸을 모두 채울 정도로 적극적으로 작성함. 'AI 연구원'이라는 새 관심 진로가 뚜렷이 드러남(1학기: 환경학과) — 관련 도서 후보까지 적음. 최종 트랙은 습관형성이며, 한 줄 다짐('11시 안에 폰 두고 취침')이 구체적인 생활 습관 목표임</t>
        </is>
      </c>
      <c r="F14" s="5" t="inlineStr">
        <is>
          <t>8차시 계획 미기재, 일부 문장 판독 추정</t>
        </is>
      </c>
    </row>
    <row r="15" ht="280" customHeight="1">
      <c r="A15" s="4" t="inlineStr">
        <is>
          <t>P-2</t>
        </is>
      </c>
      <c r="B15" s="5" t="inlineStr">
        <is>
          <t>[개별프로젝트 2차시·습관형성] 나를 돌아보고, 목표 세우기</t>
        </is>
      </c>
      <c r="C15" s="5" t="inlineStr">
        <is>
          <t>원인분석+목표설정: 최근 목표·계획 자기평가 → 실천 장애물과 개선방안 → SMART 기법으로 습관 목표 구체화 → 인증 방법 결정 → 모둠 의견 후 최종 습관 목표</t>
        </is>
      </c>
      <c r="D15" s="5" t="inlineStr">
        <is>
          <t>선택 트랙: 습관형성 (함께한 친구: 미기재)
최근 목표: 학습 개선하고 실천하기 / 계획: 수업 시간에 배웠던 것 하루에 1시간 이상 복습하기
자기평가: 목표 달성 '만족', 계획 실행 '만족' — 이유: 학원과 학교에 있는 시간이 늘어나면 시간이 조금 버겁다는 취지로 적음(판독 다소 어려움)
장애물 → 개선방안: 미기재
SMART 목표: 스스로 공부하기(학교, 학원 제외)
· S: 학교가 끝난 후 스카(스터디카페)에서 1시간 이상 교과별로 공부한다(자신이 부족하거나 복습할 교과목)
· M: 매일 EBS 1시간 이상 또는 강의 듣기 1강 이상(일부 판독 어려움)
· A: 매일 EBS 1강 이상 듣고 공부하기, 주말 3시간 이상 2강 이상
· R: 시험 점수 20점 올리기(전 과목)
· T: 중간·기말고사 전까지(방학 제외)
인증 방법: 사진 촬영(부모님 확인 서명은 체크 후 지움) / 최종 확인 방법: 사진 촬영으로 인증하기
최종 습관 목표 칸: '사진 촬영으로 인증하기'</t>
        </is>
      </c>
      <c r="E15" s="5" t="inlineStr">
        <is>
          <t>SMART 계획(스터디카페·EBS 활용)은 구체적이나, 실천 장애물 분석 칸을 비워 두었고 6번 최종 습관 목표 칸에 인증 방법을 다시 적어 문항 취지를 혼동한 것으로 보임. 1학기 희망 진로(환경학과)와는 별개인 학습 습관 목표</t>
        </is>
      </c>
      <c r="F15" s="5" t="inlineStr">
        <is>
          <t>장애물·개선방안 미기재, 6번에 목표 대신 인증 방법 기재</t>
        </is>
      </c>
    </row>
    <row r="16" ht="260" customHeight="1">
      <c r="A16" s="4" t="inlineStr">
        <is>
          <t>P-3</t>
        </is>
      </c>
      <c r="B16" s="5" t="inlineStr">
        <is>
          <t>[개별프로젝트 3차시·습관형성] 습관 실천 — 1주차 습관 기록표</t>
        </is>
      </c>
      <c r="C16" s="5" t="inlineStr">
        <is>
          <t>이번 주 목표와 확인(인증) 방법 정하기, 요일별 실천 내용·실천/인증 체크·오늘의 한 줄(동료 응원) 기록, 실천 일수와 한 주 소감 작성</t>
        </is>
      </c>
      <c r="D16" s="5" t="inlineStr">
        <is>
          <t>[습관형성] 1주차 습관 기록표
· 이번 주 목표: 평일엔 매일 인강 1강 이상, 주말엔 2강 이상, 자기주도 학습 3시간 이상 / 확인(인증) 방법: 타이머 재고 알리기
· 목: '자기주도학습 순공 4시간, 인강 3강 듣고 한국사' / 금: '자기주도학습 순공 2시간, 2시간 한국사 2강 듣기'
· 월·화·수: 실천 칸에 ✓만 있고 내용 없음 / 토·일: 비어 있음
· 오늘의 한 줄, 이번 주 실천 일수, 느낀 점: 비어 있음</t>
        </is>
      </c>
      <c r="E16" s="5" t="inlineStr">
        <is>
          <t>2차시 계획(스터디카페·EBS 자습)과 이어지는 목표를 세웠고, 기록한 이틀은 순공 시간까지 구체적임. 그러나 나머지 날과 소감이 비어 있어 2차시(장애물 칸 공란)에 이어 '돌아보기' 부분이 계속 빠지는 경향이 있음.</t>
        </is>
      </c>
      <c r="F16" s="5" t="inlineStr">
        <is>
          <t>월~수 실천 내용, 토·일, 한 줄, 실천 일수, 느낀 점 미기재</t>
        </is>
      </c>
    </row>
  </sheetData>
  <mergeCells count="2">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8" customWidth="1" min="1" max="1"/>
    <col width="11" customWidth="1" min="2" max="2"/>
    <col width="14" customWidth="1" min="3" max="3"/>
    <col width="34" customWidth="1" min="4" max="4"/>
    <col width="30" customWidth="1" min="5" max="5"/>
    <col width="55" customWidth="1" min="6" max="6"/>
    <col width="38" customWidth="1" min="7" max="7"/>
  </cols>
  <sheetData>
    <row r="1" ht="24" customHeight="1">
      <c r="A1" s="1" t="inlineStr">
        <is>
          <t>2026학년도 1학년 1반 개별프로젝트 1차시(트랙 선택·8차시 계획) — 정리 코멘트 모음</t>
        </is>
      </c>
    </row>
    <row r="2" ht="30" customHeight="1">
      <c r="A2" s="8" t="inlineStr">
        <is>
          <t>※ 2026.9.26 받은 1차시 스캔본(42쪽, 1인 2쪽)을 정리하며 남긴 코멘트. 학생별 시트의 'P-1' 행(각 학생의 P-2 바로 위)과 같은 내용이며, 활동지에 적힌 사실 기반 관찰임.</t>
        </is>
      </c>
    </row>
    <row r="4" ht="20" customHeight="1">
      <c r="A4" s="9" t="inlineStr">
        <is>
          <t>1. 전체 요약</t>
        </is>
      </c>
    </row>
    <row r="5" ht="36" customHeight="1">
      <c r="A5" s="10" t="inlineStr">
        <is>
          <t>제출 현황</t>
        </is>
      </c>
      <c r="B5" s="15" t="n"/>
      <c r="C5" s="5" t="inlineStr">
        <is>
          <t>21명분(42쪽). 10114 성유현은 이번 스캔본에 없음 — 지난번 2차시 스캔본에 섞여 온 1차시 작성본으로 이미 정리됨. 10106은 이번에는 이름·트랙 체크만 있는 공란본(작성본은 지난번에 정리됨).</t>
        </is>
      </c>
      <c r="D5" s="16" t="n"/>
      <c r="E5" s="16" t="n"/>
      <c r="F5" s="16" t="n"/>
      <c r="G5" s="15" t="n"/>
    </row>
    <row r="6" ht="36" customHeight="1">
      <c r="A6" s="10" t="inlineStr">
        <is>
          <t>트랙 선택(1차시 체크 기준)</t>
        </is>
      </c>
      <c r="B6" s="15" t="n"/>
      <c r="C6" s="5" t="inlineStr">
        <is>
          <t>주제탐구 12명(10114 포함) / 습관형성 8명 / 진로독서 1명(이영민) / 중복 체크 1명(이가람: 진로독서+습관형성)
※ 2차시에는 이영민·이가람 모두 습관형성 활동지(독서 습관)를 제출 → 두 학생의 최종 트랙 확인 필요</t>
        </is>
      </c>
      <c r="D6" s="16" t="n"/>
      <c r="E6" s="16" t="n"/>
      <c r="F6" s="16" t="n"/>
      <c r="G6" s="15" t="n"/>
    </row>
    <row r="7" ht="66" customHeight="1">
      <c r="A7" s="10" t="inlineStr">
        <is>
          <t>1차시 → 2차시 주제가 바뀐 학생</t>
        </is>
      </c>
      <c r="B7" s="15" t="n"/>
      <c r="C7" s="5" t="inlineStr">
        <is>
          <t>김태경: 국회의사당이 여의도에 지어진 이유(추정) → 북한 미사일 도발
문시우: 사이버 범죄의 증가와 경찰의 역할 → CCTV와 범죄 예방
김채원: 과학 발달이 약학에 미치는 변화 → 약물의 체내 작용(구체화)
※ 나머지 주제탐구 학생은 1차시 잠정 주제가 2차시로 그대로 이어짐</t>
        </is>
      </c>
      <c r="D7" s="16" t="n"/>
      <c r="E7" s="16" t="n"/>
      <c r="F7" s="16" t="n"/>
      <c r="G7" s="15" t="n"/>
    </row>
    <row r="8" ht="96" customHeight="1">
      <c r="A8" s="10" t="inlineStr">
        <is>
          <t>새로 드러난 진로 정보</t>
        </is>
      </c>
      <c r="B8" s="15" t="n"/>
      <c r="C8" s="5" t="inlineStr">
        <is>
          <t>김민정: 장래희망 '합기도 사범' 직접 명시(합기도 수련 중)
조준호: 희망 진로 '물리치료사'(부모님 마사지 경험이 계기), 재활로봇 엔지니어까지 관심 확장
한지훈: 'AI 연구원'·인공지능에 큰 관심, 관련 도서 후보까지 적음
이가람: '요리사' 관심 새로 등장
이영민: 퍼포먼스 마케터·세일즈/설비 엔지니어 — '아직 진로 방향을 못 정했다'고 스스로 밝힘
정솔미: '앞으로 계속 한국에 살 생각이라 대입·취업을 위해 TOPIK 성적 필요' — 한국어 학습자임을 본인이 확인</t>
        </is>
      </c>
      <c r="D8" s="16" t="n"/>
      <c r="E8" s="16" t="n"/>
      <c r="F8" s="16" t="n"/>
      <c r="G8" s="15" t="n"/>
    </row>
    <row r="9" ht="66" customHeight="1">
      <c r="A9" s="10" t="inlineStr">
        <is>
          <t>계획을 잘 세운 사례</t>
        </is>
      </c>
      <c r="B9" s="15" t="n"/>
      <c r="C9" s="5" t="inlineStr">
        <is>
          <t>임성미: 집중 방해요소 찾기→문제집 선택→트래커→'막힘 요소' 정리→어려운 1문제 셀프 강의로 이어지는 독창적 8차시 계획
변선재: 차시별 활동과 산출물까지 짝지어 작성
문시우: 8차시 순서를 스스로 조정하며 계획
정솔미: 단어 암기 중심으로 8차시 칸을 빠짐없이 채움</t>
        </is>
      </c>
      <c r="D9" s="16" t="n"/>
      <c r="E9" s="16" t="n"/>
      <c r="F9" s="16" t="n"/>
      <c r="G9" s="15" t="n"/>
    </row>
    <row r="10" ht="66" customHeight="1">
      <c r="A10" s="10" t="inlineStr">
        <is>
          <t>보완이 필요해 보이는 부분</t>
        </is>
      </c>
      <c r="B10" s="15" t="n"/>
      <c r="C10" s="5" t="inlineStr">
        <is>
          <t>8차시 세부 계획을 비워 둔 학생이 절반 이상(김민성, 김민정, 박소연, 양예진, 오주영, 이영민, 조준호, 채흔희, 최유나, 김태경, 한지훈 — 20명 중 11명) → 2~3차시 중 계획표 보완 시간 권장
박수진: 계획 칸 전부 '//'(예시 흐름 그대로) 표시
김태경: 인쇄된 예시 문구 위에 겹쳐 써서 판독이 어려움</t>
        </is>
      </c>
      <c r="D10" s="16" t="n"/>
      <c r="E10" s="16" t="n"/>
      <c r="F10" s="16" t="n"/>
      <c r="G10" s="15" t="n"/>
    </row>
    <row r="12" ht="20" customHeight="1">
      <c r="A12" s="9" t="inlineStr">
        <is>
          <t>2. 학생별 코멘트</t>
        </is>
      </c>
    </row>
    <row r="13">
      <c r="A13" s="3" t="inlineStr">
        <is>
          <t>학번</t>
        </is>
      </c>
      <c r="B13" s="3" t="inlineStr">
        <is>
          <t>이름</t>
        </is>
      </c>
      <c r="C13" s="3" t="inlineStr">
        <is>
          <t>1차시 선택 트랙</t>
        </is>
      </c>
      <c r="D13" s="3" t="inlineStr">
        <is>
          <t>관심 분야 / 잠정 주제·습관</t>
        </is>
      </c>
      <c r="E13" s="3" t="inlineStr">
        <is>
          <t>2차시와의 연결</t>
        </is>
      </c>
      <c r="F13" s="3" t="inlineStr">
        <is>
          <t>코멘트(특이사항)</t>
        </is>
      </c>
      <c r="G13" s="3" t="inlineStr">
        <is>
          <t>미기재·확인 필요</t>
        </is>
      </c>
    </row>
    <row r="14" ht="90" customHeight="1">
      <c r="A14" s="4" t="inlineStr">
        <is>
          <t>10101</t>
        </is>
      </c>
      <c r="B14" s="4" t="inlineStr">
        <is>
          <t>정솔미</t>
        </is>
      </c>
      <c r="C14" s="4" t="inlineStr">
        <is>
          <t>습관형성</t>
        </is>
      </c>
      <c r="D14" s="5" t="inlineStr">
        <is>
          <t>매일 한국어 단어 10개 이상·한국어 책 문제 풀기(TOPIK 대비)</t>
        </is>
      </c>
      <c r="E14" s="5" t="inlineStr">
        <is>
          <t>그대로 이어짐(TOPIK 5급 습관 목표)</t>
        </is>
      </c>
      <c r="F14" s="5" t="inlineStr">
        <is>
          <t>학생 본인이 '앞으로 계속 한국에 살 생각', '대입·취업을 위해 TOPIK 성적 필요'라고 직접 적음 → 한국어를 제2언어로 학습 중인 학생으로 확인됨(2차시 코멘트의 '확인 권장' 사항이 해소됨). 8차시 계획을 차시별로 빠짐없이 채운 성실한 작성</t>
        </is>
      </c>
      <c r="G14" s="5" t="inlineStr">
        <is>
          <t>트랙 선택 이유 칸 미기재</t>
        </is>
      </c>
    </row>
    <row r="15" ht="60" customHeight="1">
      <c r="A15" s="4" t="inlineStr">
        <is>
          <t>10102</t>
        </is>
      </c>
      <c r="B15" s="4" t="inlineStr">
        <is>
          <t>김민성</t>
        </is>
      </c>
      <c r="C15" s="4" t="inlineStr">
        <is>
          <t>주제탐구</t>
        </is>
      </c>
      <c r="D15" s="5" t="inlineStr">
        <is>
          <t>나노분자 정밀시스템, AI의 한계, 저중량 고반발 소재(일부 잘림) / 잠정 주제 미기재</t>
        </is>
      </c>
      <c r="E15" s="5" t="inlineStr">
        <is>
          <t>기계공학 관심 → 2차시 로봇·자동화 주제</t>
        </is>
      </c>
      <c r="F15" s="5" t="inlineStr">
        <is>
          <t>트랙 선택 이유를 매우 길게, 기계공학에 대한 관심의 계기(중학교 때 본 영상)까지 구체적으로 서술함 → 2차시 '로봇·자동화' 주제로 이어짐. 반면 잠정 주제와 8차시 계획은 비어 있음</t>
        </is>
      </c>
      <c r="G15" s="5" t="inlineStr">
        <is>
          <t>관심 분야 칸 오른쪽이 스캔 잘림(원본 확인 필요), 잠정 주제·8차시 계획·다짐 미기재</t>
        </is>
      </c>
    </row>
    <row r="16" ht="60" customHeight="1">
      <c r="A16" s="4" t="inlineStr">
        <is>
          <t>10103</t>
        </is>
      </c>
      <c r="B16" s="4" t="inlineStr">
        <is>
          <t>김민정</t>
        </is>
      </c>
      <c r="C16" s="4" t="inlineStr">
        <is>
          <t>주제탐구</t>
        </is>
      </c>
      <c r="D16" s="5" t="inlineStr">
        <is>
          <t>스포츠·교육·합기도 / 합기도 사범에게 필요한 자질과 역할</t>
        </is>
      </c>
      <c r="E16" s="5" t="inlineStr">
        <is>
          <t>그대로 이어짐(스포츠 사범 교육 방식)</t>
        </is>
      </c>
      <c r="F16" s="5" t="inlineStr">
        <is>
          <t>장래희망을 '합기도 사범'이라고 직접 밝힘(직접 합기도를 배우는 중). 1학기 1-7(연극영화학과)과는 다른 방향이며, 2차시 '스포츠 사범의 교육 방식' 주제와 정확히 이어짐</t>
        </is>
      </c>
      <c r="G16" s="5" t="inlineStr">
        <is>
          <t>8차시 계획, 한 줄 다짐 미기재</t>
        </is>
      </c>
    </row>
    <row r="17" ht="60" customHeight="1">
      <c r="A17" s="4" t="inlineStr">
        <is>
          <t>10104</t>
        </is>
      </c>
      <c r="B17" s="4" t="inlineStr">
        <is>
          <t>김채원</t>
        </is>
      </c>
      <c r="C17" s="4" t="inlineStr">
        <is>
          <t>주제탐구</t>
        </is>
      </c>
      <c r="D17" s="5" t="inlineStr">
        <is>
          <t>약사·약학연구원·약학 / 과학 발달이 약학에 미치는 변화</t>
        </is>
      </c>
      <c r="E17" s="5" t="inlineStr">
        <is>
          <t>구체화(약물의 체내 작용)</t>
        </is>
      </c>
      <c r="F17" s="5" t="inlineStr">
        <is>
          <t>'진로가 확실히 정해져 있다'고 스스로 밝힐 만큼 약학 진로가 뚜렷함. 1차시 잠정 주제(과학 발달과 약학의 변화)가 2차시에서 '약물의 체내 작용'으로 더 구체화됨</t>
        </is>
      </c>
      <c r="G17" s="5" t="inlineStr">
        <is>
          <t>탐구 유형 체크 누락, 한 줄 다짐 미완성</t>
        </is>
      </c>
    </row>
    <row r="18" ht="75" customHeight="1">
      <c r="A18" s="4" t="inlineStr">
        <is>
          <t>10105</t>
        </is>
      </c>
      <c r="B18" s="4" t="inlineStr">
        <is>
          <t>김태경</t>
        </is>
      </c>
      <c r="C18" s="4" t="inlineStr">
        <is>
          <t>주제탐구</t>
        </is>
      </c>
      <c r="D18" s="5" t="inlineStr">
        <is>
          <t>국회의원·국무위원·정치인 / 국회의사당이 여의도에 지어진 이유(추정)</t>
        </is>
      </c>
      <c r="E18" s="5" t="inlineStr">
        <is>
          <t>주제 변경(북한 미사일 도발)</t>
        </is>
      </c>
      <c r="F18" s="5" t="inlineStr">
        <is>
          <t>정치 분야 진로(국회의원·정치인)가 일관됨. 1차시 잠정 주제(국회의사당 위치)가 2차시에서 '북한의 미사일 도발'로 바뀜 → 주제 변경 이유를 확인해 볼 만함. 여백에 로켓(미사일) 모양 낙서가 있음</t>
        </is>
      </c>
      <c r="G18" s="5" t="inlineStr">
        <is>
          <t>손글씨를 인쇄된 예시 문구 위에 겹쳐 써서 대부분 '추정' 판독(원본 확인 권장), 8차시 계획 미기재</t>
        </is>
      </c>
    </row>
    <row r="19" ht="120" customHeight="1">
      <c r="A19" s="12" t="inlineStr">
        <is>
          <t>10106</t>
        </is>
      </c>
      <c r="B19" s="12" t="inlineStr">
        <is>
          <t>김태영(확인 필요)</t>
        </is>
      </c>
      <c r="C19" s="12" t="inlineStr">
        <is>
          <t>주제탐구</t>
        </is>
      </c>
      <c r="D19" s="13" t="inlineStr">
        <is>
          <t>이번 제출본은 공란 — 작성본: 동물·군인·생명과학 / 동물복지 현황</t>
        </is>
      </c>
      <c r="E19" s="13" t="inlineStr">
        <is>
          <t>2차시 계획서 미제출</t>
        </is>
      </c>
      <c r="F19" s="13" t="inlineStr">
        <is>
          <t>동물·군인이라는 두 관심사를 '군견'이라는 접점으로 연결해 주제를 찾은 점이 인상적임. 1학기 활동 기록이 없는 학생이라 이번이 첫 기록</t>
        </is>
      </c>
      <c r="G19" s="13" t="inlineStr">
        <is>
          <t>이름 판독 확인 필요('김태영'으로 읽었으나 '김채영' 등일 수 있음), 2차시 탐구계획서 미제출
※ 9/26 받은 1차시 스캔본에도 10106 활동지가 한 부 더 있었으나 이름·트랙(주제탐구) 체크 외에는 전부 공란 — 위 내용은 먼저 받은 작성본 기준</t>
        </is>
      </c>
    </row>
    <row r="20" ht="45" customHeight="1">
      <c r="A20" s="4" t="inlineStr">
        <is>
          <t>10107</t>
        </is>
      </c>
      <c r="B20" s="4" t="inlineStr">
        <is>
          <t>나현수</t>
        </is>
      </c>
      <c r="C20" s="4" t="inlineStr">
        <is>
          <t>주제탐구</t>
        </is>
      </c>
      <c r="D20" s="5" t="inlineStr">
        <is>
          <t>교육·심리·철학 / 칭찬은 항상 좋은 교육일까?</t>
        </is>
      </c>
      <c r="E20" s="5" t="inlineStr">
        <is>
          <t>그대로 이어짐(짝 박주빈)</t>
        </is>
      </c>
      <c r="F20" s="5" t="inlineStr">
        <is>
          <t>온라인공동교육과정 수업 경험에서 탐구 질문을 끌어낸 점이 인상적임. 짝 박주빈과 같은 주제로 1차시부터 공동 설계</t>
        </is>
      </c>
      <c r="G20" s="5" t="inlineStr">
        <is>
          <t>탐구 유형 체크 누락</t>
        </is>
      </c>
    </row>
    <row r="21" ht="60" customHeight="1">
      <c r="A21" s="4" t="inlineStr">
        <is>
          <t>10108</t>
        </is>
      </c>
      <c r="B21" s="4" t="inlineStr">
        <is>
          <t>문시우</t>
        </is>
      </c>
      <c r="C21" s="4" t="inlineStr">
        <is>
          <t>주제탐구</t>
        </is>
      </c>
      <c r="D21" s="5" t="inlineStr">
        <is>
          <t>경찰·경찰행정학과 / 사이버 범죄의 증가와 경찰의 역할</t>
        </is>
      </c>
      <c r="E21" s="5" t="inlineStr">
        <is>
          <t>주제 변경(CCTV와 범죄 예방)</t>
        </is>
      </c>
      <c r="F21" s="5" t="inlineStr">
        <is>
          <t>경찰행정학과 진로가 1학기부터 일관됨. 1차시 잠정 주제(사이버 범죄)에서 2차시 'CCTV와 범죄 예방'으로 주제를 바꿈. 8차시 계획을 스스로 순서 조정하며 짜임새 있게 구성함</t>
        </is>
      </c>
      <c r="G21" s="5" t="inlineStr">
        <is>
          <t>탐구 유형 체크, 한 줄 다짐 미기재</t>
        </is>
      </c>
    </row>
    <row r="22" ht="75" customHeight="1">
      <c r="A22" s="4" t="inlineStr">
        <is>
          <t>10109</t>
        </is>
      </c>
      <c r="B22" s="4" t="inlineStr">
        <is>
          <t>박소연</t>
        </is>
      </c>
      <c r="C22" s="4" t="inlineStr">
        <is>
          <t>주제탐구</t>
        </is>
      </c>
      <c r="D22" s="5" t="inlineStr">
        <is>
          <t>방사선사·형사·바리스타 / 방사선사의 역할과 방사선 안전</t>
        </is>
      </c>
      <c r="E22" s="5" t="inlineStr">
        <is>
          <t>그대로 이어짐(X선·CT·MRI)</t>
        </is>
      </c>
      <c r="F22" s="5" t="inlineStr">
        <is>
          <t>관심 직업마다 '나의 성향과 맞는 이유'를 따로 적는 등 자기 성향에 대한 이해가 드러남(대화보다 장비·정확성 선호). 방사선사 진로가 1학기부터 일관되며 2차시 X선·CT·MRI 주제로 구체화됨</t>
        </is>
      </c>
      <c r="G22" s="5" t="inlineStr">
        <is>
          <t>트랙 선택 이유, 8차시 계획, 한 줄 다짐 미기재, 이유 칸 글씨가 칸 밖으로 넘쳐 일부 판독 추정</t>
        </is>
      </c>
    </row>
    <row r="23" ht="60" customHeight="1">
      <c r="A23" s="4" t="inlineStr">
        <is>
          <t>10110</t>
        </is>
      </c>
      <c r="B23" s="4" t="inlineStr">
        <is>
          <t>박수진</t>
        </is>
      </c>
      <c r="C23" s="4" t="inlineStr">
        <is>
          <t>주제탐구</t>
        </is>
      </c>
      <c r="D23" s="5" t="inlineStr">
        <is>
          <t>영어·교육·교사 / 교사의 수업 방식과 학습 참여·성취도</t>
        </is>
      </c>
      <c r="E23" s="5" t="inlineStr">
        <is>
          <t>그대로 이어짐</t>
        </is>
      </c>
      <c r="F23" s="5" t="inlineStr">
        <is>
          <t>영어 교사 진로가 매우 뚜렷하고 1학기부터 일관됨. 1차시 잠정 주제가 2차시 핵심 질문으로 자연스럽게 이어짐. 다만 8차시 세부 계획은 예시 흐름을 그대로 따르겠다는 표시만 해 둠</t>
        </is>
      </c>
      <c r="G23" s="5" t="inlineStr">
        <is>
          <t>8차시 세부 계획 미작성('//' 표시)</t>
        </is>
      </c>
    </row>
    <row r="24" ht="45" customHeight="1">
      <c r="A24" s="4" t="inlineStr">
        <is>
          <t>10111</t>
        </is>
      </c>
      <c r="B24" s="4" t="inlineStr">
        <is>
          <t>박주빈</t>
        </is>
      </c>
      <c r="C24" s="4" t="inlineStr">
        <is>
          <t>주제탐구</t>
        </is>
      </c>
      <c r="D24" s="5" t="inlineStr">
        <is>
          <t>교육·심리·철학 / 칭찬은 항상 좋은 교육일까?</t>
        </is>
      </c>
      <c r="E24" s="5" t="inlineStr">
        <is>
          <t>그대로 이어짐(짝 나현수)</t>
        </is>
      </c>
      <c r="F24" s="5" t="inlineStr">
        <is>
          <t>짝 나현수와 같은 주제·같은 관심 분야(교육·심리·철학)로 공동 설계. 초등교사 진로가 1학기부터 일관됨</t>
        </is>
      </c>
      <c r="G24" s="5" t="inlineStr">
        <is>
          <t>탐구 유형 체크 누락</t>
        </is>
      </c>
    </row>
    <row r="25" ht="60" customHeight="1">
      <c r="A25" s="4" t="inlineStr">
        <is>
          <t>10112</t>
        </is>
      </c>
      <c r="B25" s="4" t="inlineStr">
        <is>
          <t>변선재</t>
        </is>
      </c>
      <c r="C25" s="4" t="inlineStr">
        <is>
          <t>주제탐구(관심사형)</t>
        </is>
      </c>
      <c r="D25" s="5" t="inlineStr">
        <is>
          <t>우리은하·우주·로봇 기계(추정) / 과학 발전으로 밝혀지는 우리은하의 비밀</t>
        </is>
      </c>
      <c r="E25" s="5" t="inlineStr">
        <is>
          <t>그대로 이어짐</t>
        </is>
      </c>
      <c r="F25" s="5" t="inlineStr">
        <is>
          <t>'관심사 탐구형'으로 진로와 별개인 천문 주제를 선택했다고 스스로 구분함. 8차시 계획에 차시별 산출물까지 적은 유일한 학생 중 하나로 계획 완성도가 높음</t>
        </is>
      </c>
      <c r="G25" s="5" t="inlineStr">
        <is>
          <t>글씨가 작고 흐려 관심 분야·다짐 등 일부 판독 어려움(원본 확인 권장)</t>
        </is>
      </c>
    </row>
    <row r="26" ht="60" customHeight="1">
      <c r="A26" s="12" t="inlineStr">
        <is>
          <t>10114</t>
        </is>
      </c>
      <c r="B26" s="12" t="inlineStr">
        <is>
          <t>성유현</t>
        </is>
      </c>
      <c r="C26" s="12" t="inlineStr">
        <is>
          <t>주제탐구</t>
        </is>
      </c>
      <c r="D26" s="13" t="inlineStr">
        <is>
          <t>(지난번 스캔본에서 정리) 작곡가·작사가·싱어송라이터</t>
        </is>
      </c>
      <c r="E26" s="13" t="inlineStr">
        <is>
          <t>2차시 계획서 미제출</t>
        </is>
      </c>
      <c r="F26" s="13" t="inlineStr">
        <is>
          <t>1학기 1-4의 희망전공 1순위(음악)와 일관된 음악 창작 분야를 선택함. 트랙 선택 이유 문장이 예시 문구('축구를 좋아해서 축구 전술을 탐구')의 형식을 그대로 따라 쓴 것으로 보임</t>
        </is>
      </c>
      <c r="G26" s="13" t="inlineStr">
        <is>
          <t>2차시 탐구계획서 미제출(이번 스캔본에 없음), 탐구 유형 체크 누락, 잠정 주제 끝부분 스캔 잘림</t>
        </is>
      </c>
    </row>
    <row r="27" ht="45" customHeight="1">
      <c r="A27" s="4" t="inlineStr">
        <is>
          <t>10115</t>
        </is>
      </c>
      <c r="B27" s="4" t="inlineStr">
        <is>
          <t>양예진</t>
        </is>
      </c>
      <c r="C27" s="4" t="inlineStr">
        <is>
          <t>습관형성</t>
        </is>
      </c>
      <c r="D27" s="5" t="inlineStr">
        <is>
          <t>체력·몸 관리, 맵고 짠 음식 줄이기, 운동</t>
        </is>
      </c>
      <c r="E27" s="5" t="inlineStr">
        <is>
          <t>그대로 이어짐(건강 습관)</t>
        </is>
      </c>
      <c r="F27" s="5" t="inlineStr">
        <is>
          <t>1차시부터 건강·체력 관리 습관으로 방향을 정했고 2차시 목표로 그대로 이어짐. 진로독서도 잠시 고민한 흔적(체크)이 있음</t>
        </is>
      </c>
      <c r="G27" s="5" t="inlineStr">
        <is>
          <t>트랙 선택 이유, 8차시 계획, 한 줄 다짐 미기재 / 첫 장 왼쪽 위 여백에 낙서</t>
        </is>
      </c>
    </row>
    <row r="28" ht="60" customHeight="1">
      <c r="A28" s="4" t="inlineStr">
        <is>
          <t>10116</t>
        </is>
      </c>
      <c r="B28" s="4" t="inlineStr">
        <is>
          <t>오주영</t>
        </is>
      </c>
      <c r="C28" s="4" t="inlineStr">
        <is>
          <t>습관형성</t>
        </is>
      </c>
      <c r="D28" s="5" t="inlineStr">
        <is>
          <t>정해진 시간 공부·운동, 게임 시간 줄이기 (주제탐구 칸에 경영·경제·사업)</t>
        </is>
      </c>
      <c r="E28" s="5" t="inlineStr">
        <is>
          <t>그대로 이어짐(공부 습관)</t>
        </is>
      </c>
      <c r="F28" s="5" t="inlineStr">
        <is>
          <t>습관형성 트랙을 택하면서도 주제탐구 칸에 경영·경제·사업 관심을 적어, 1학기 희망 진로(사업가·경영학과)가 유지되고 있음을 보여줌. 스스로 '게임 시간 줄이기'를 개선 과제로 꼽음</t>
        </is>
      </c>
      <c r="G28" s="5" t="inlineStr">
        <is>
          <t>8차시 계획, 한 줄 다짐 미기재</t>
        </is>
      </c>
    </row>
    <row r="29" ht="75" customHeight="1">
      <c r="A29" s="12" t="inlineStr">
        <is>
          <t>10117</t>
        </is>
      </c>
      <c r="B29" s="12" t="inlineStr">
        <is>
          <t>이가람</t>
        </is>
      </c>
      <c r="C29" s="12" t="inlineStr">
        <is>
          <t>진로독서+습관형성 중복</t>
        </is>
      </c>
      <c r="D29" s="13" t="inlineStr">
        <is>
          <t>요리사·스포츠트레이너 / 독서 분야: 요리·운동</t>
        </is>
      </c>
      <c r="E29" s="13" t="inlineStr">
        <is>
          <t>2차시는 습관형성(독서 습관)</t>
        </is>
      </c>
      <c r="F29" s="13" t="inlineStr">
        <is>
          <t>세 트랙 칸을 모두 건드리며 오래 고민한 흔적이 뚜렷함(최종 계획은 독서 흐름 → 2차시는 '독서 습관'으로 습관형성 활동지 제출). 1학기(스포츠의학과·트레이너)에 없던 '요리사' 관심이 새로 등장함</t>
        </is>
      </c>
      <c r="G29" s="13" t="inlineStr">
        <is>
          <t>트랙 중복 체크(진로독서/습관형성) — 최종 트랙 확인 필요</t>
        </is>
      </c>
    </row>
    <row r="30" ht="75" customHeight="1">
      <c r="A30" s="12" t="inlineStr">
        <is>
          <t>10119</t>
        </is>
      </c>
      <c r="B30" s="12" t="inlineStr">
        <is>
          <t>이영민</t>
        </is>
      </c>
      <c r="C30" s="12" t="inlineStr">
        <is>
          <t>진로독서</t>
        </is>
      </c>
      <c r="D30" s="13" t="inlineStr">
        <is>
          <t>퍼포먼스 마케터·세일즈/설비 엔지니어</t>
        </is>
      </c>
      <c r="E30" s="13" t="inlineStr">
        <is>
          <t>2차시는 습관형성(독서 습관) — 트랙 확인</t>
        </is>
      </c>
      <c r="F30" s="13" t="inlineStr">
        <is>
          <t>'아직 진로 방향을 못 정했다'고 스스로 밝힘. 1학기(반도체공학기술자·외식조리학과)와 다른 마케터·엔지니어 직업을 새로 적음. 1차시에는 진로독서를 골랐는데 2차시는 습관형성(독서 습관) 활동지를 제출함 → 트랙 확인 필요</t>
        </is>
      </c>
      <c r="G30" s="13" t="inlineStr">
        <is>
          <t>트랙 불일치(1차시 진로독서 ↔ 2차시 습관형성), B 작성란·8차시 계획·다짐 미기재</t>
        </is>
      </c>
    </row>
    <row r="31" ht="60" customHeight="1">
      <c r="A31" s="4" t="inlineStr">
        <is>
          <t>10120</t>
        </is>
      </c>
      <c r="B31" s="4" t="inlineStr">
        <is>
          <t>임성미</t>
        </is>
      </c>
      <c r="C31" s="4" t="inlineStr">
        <is>
          <t>습관형성</t>
        </is>
      </c>
      <c r="D31" s="5" t="inlineStr">
        <is>
          <t>매일 수학 문제 최소 10개, 집중 방해 습관 개선</t>
        </is>
      </c>
      <c r="E31" s="5" t="inlineStr">
        <is>
          <t>그대로 이어짐(수학 60점)</t>
        </is>
      </c>
      <c r="F31" s="5" t="inlineStr">
        <is>
          <t>8차시 계획이 매우 독창적임('막힘 요소' 정리, 어려운 1문제 셀프 강의 등) — 습관형성 트랙 중 계획 완성도가 가장 높음. 2차시 수학 60점 목표와 일관됨</t>
        </is>
      </c>
      <c r="G31" s="5" t="inlineStr">
        <is>
          <t>트랙 선택 이유, 한 줄 다짐 미기재</t>
        </is>
      </c>
    </row>
    <row r="32" ht="75" customHeight="1">
      <c r="A32" s="4" t="inlineStr">
        <is>
          <t>10121</t>
        </is>
      </c>
      <c r="B32" s="4" t="inlineStr">
        <is>
          <t>조준호</t>
        </is>
      </c>
      <c r="C32" s="4" t="inlineStr">
        <is>
          <t>습관형성</t>
        </is>
      </c>
      <c r="D32" s="5" t="inlineStr">
        <is>
          <t>물리치료사·재활운동기기 개발자·AI 재활로봇 엔지니어</t>
        </is>
      </c>
      <c r="E32" s="5" t="inlineStr">
        <is>
          <t>생활 습관 개선 → 2차시 복습 습관</t>
        </is>
      </c>
      <c r="F32" s="5" t="inlineStr">
        <is>
          <t>희망 진로를 '물리치료사'로 새로 밝힘(1학기: 스포츠트레이너·호텔컨시어지) — 부모님께 마사지를 해드린 경험이 계기. 재활로봇 등 공학 융합 직업까지 확장해 적은 점이 눈에 띔. 습관이 진로 실현에 필요하다는 연결을 스스로 함</t>
        </is>
      </c>
      <c r="G32" s="5" t="inlineStr">
        <is>
          <t>습관형성 작성란(C), 8차시 계획, 다짐 미기재</t>
        </is>
      </c>
    </row>
    <row r="33" ht="45" customHeight="1">
      <c r="A33" s="4" t="inlineStr">
        <is>
          <t>10122</t>
        </is>
      </c>
      <c r="B33" s="4" t="inlineStr">
        <is>
          <t>채흔희</t>
        </is>
      </c>
      <c r="C33" s="4" t="inlineStr">
        <is>
          <t>습관형성</t>
        </is>
      </c>
      <c r="D33" s="5" t="inlineStr">
        <is>
          <t>약속시간 지키기</t>
        </is>
      </c>
      <c r="E33" s="5" t="inlineStr">
        <is>
          <t>구체화(제시간에 학원 가기)</t>
        </is>
      </c>
      <c r="F33" s="5" t="inlineStr">
        <is>
          <t>약속시간 지키기라는 1차시 방향이 2차시 '제시간에 학원 가기'로 구체화됨. 짝 양예진과 함께 활동</t>
        </is>
      </c>
      <c r="G33" s="5" t="inlineStr">
        <is>
          <t>트랙 선택 이유, 8차시 계획, 한 줄 다짐 미기재</t>
        </is>
      </c>
    </row>
    <row r="34" ht="45" customHeight="1">
      <c r="A34" s="4" t="inlineStr">
        <is>
          <t>10123</t>
        </is>
      </c>
      <c r="B34" s="4" t="inlineStr">
        <is>
          <t>최유나</t>
        </is>
      </c>
      <c r="C34" s="4" t="inlineStr">
        <is>
          <t>습관형성</t>
        </is>
      </c>
      <c r="D34" s="5" t="inlineStr">
        <is>
          <t>BTS RM처럼 운동·독서 자기관리 / 한 가지 일에 집중하기</t>
        </is>
      </c>
      <c r="E34" s="5" t="inlineStr">
        <is>
          <t>그대로 이어짐(20분 집중)</t>
        </is>
      </c>
      <c r="F34" s="5" t="inlineStr">
        <is>
          <t>닮고 싶은 인물(BTS RM)과 습관을 구체적으로 제시함. '집중력' 문제의식이 1차시부터 2차시(휴대폰 없이 20분 집중)까지 일관됨</t>
        </is>
      </c>
      <c r="G34" s="5" t="inlineStr">
        <is>
          <t>8차시 계획 미기재</t>
        </is>
      </c>
    </row>
    <row r="35" ht="90" customHeight="1">
      <c r="A35" s="4" t="inlineStr">
        <is>
          <t>10124</t>
        </is>
      </c>
      <c r="B35" s="4" t="inlineStr">
        <is>
          <t>한지훈</t>
        </is>
      </c>
      <c r="C35" s="4" t="inlineStr">
        <is>
          <t>습관형성</t>
        </is>
      </c>
      <c r="D35" s="5" t="inlineStr">
        <is>
          <t>AI 연구원·인공지능(주제탐구·독서 칸도 작성) / 11시 안에 폰 두고 취침</t>
        </is>
      </c>
      <c r="E35" s="5" t="inlineStr">
        <is>
          <t>2차시는 스터디카페·EBS 자습 습관</t>
        </is>
      </c>
      <c r="F35" s="5" t="inlineStr">
        <is>
          <t>A·B·C 세 트랙 칸을 모두 채울 정도로 적극적으로 작성함. 'AI 연구원'이라는 새 관심 진로가 뚜렷이 드러남(1학기: 환경학과) — 관련 도서 후보까지 적음. 최종 트랙은 습관형성이며, 한 줄 다짐('11시 안에 폰 두고 취침')이 구체적인 생활 습관 목표임</t>
        </is>
      </c>
      <c r="G35" s="5" t="inlineStr">
        <is>
          <t>8차시 계획 미기재, 일부 문장 판독 추정</t>
        </is>
      </c>
    </row>
    <row r="37">
      <c r="A37" s="14" t="inlineStr">
        <is>
          <t>※ 노란색 행: 이번 스캔본에 작성본이 없거나(10106·10114), 1차시와 2차시의 트랙이 달라 확인이 필요한 학생(10117·10119)</t>
        </is>
      </c>
    </row>
  </sheetData>
  <mergeCells count="16">
    <mergeCell ref="C8:G8"/>
    <mergeCell ref="C7:G7"/>
    <mergeCell ref="A1:G1"/>
    <mergeCell ref="A7:B7"/>
    <mergeCell ref="C6:G6"/>
    <mergeCell ref="C10:G10"/>
    <mergeCell ref="A10:B10"/>
    <mergeCell ref="A5:B5"/>
    <mergeCell ref="A4:G4"/>
    <mergeCell ref="A12:G12"/>
    <mergeCell ref="C5:G5"/>
    <mergeCell ref="A2:G2"/>
    <mergeCell ref="A9:B9"/>
    <mergeCell ref="A8:B8"/>
    <mergeCell ref="C9:G9"/>
    <mergeCell ref="A6:B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8" customWidth="1" min="1" max="1"/>
    <col width="11" customWidth="1" min="2" max="2"/>
    <col width="13" customWidth="1" min="3" max="3"/>
    <col width="11" customWidth="1" min="4" max="4"/>
    <col width="38" customWidth="1" min="5" max="5"/>
    <col width="30" customWidth="1" min="6" max="6"/>
    <col width="55" customWidth="1" min="7" max="7"/>
    <col width="38" customWidth="1" min="8" max="8"/>
  </cols>
  <sheetData>
    <row r="1" ht="24" customHeight="1">
      <c r="A1" s="1" t="inlineStr">
        <is>
          <t>2026학년도 1학년 1반 개별프로젝트 2차시 — 정리 코멘트 모음</t>
        </is>
      </c>
    </row>
    <row r="2" ht="30" customHeight="1">
      <c r="A2" s="8" t="inlineStr">
        <is>
          <t>※ 2026.9.22 스캔본(22장)을 정리하며 남긴 코멘트. 학생별 시트의 'P-1/P-2' 행 특이사항·비고와 같은 내용을 한눈에 볼 수 있게 모은 것이며, 판단이 아닌 활동지에 적힌 사실 기반 관찰임.</t>
        </is>
      </c>
    </row>
    <row r="4" ht="20" customHeight="1">
      <c r="A4" s="9" t="inlineStr">
        <is>
          <t>1. 전체 요약</t>
        </is>
      </c>
    </row>
    <row r="5" ht="22" customHeight="1">
      <c r="A5" s="10" t="inlineStr">
        <is>
          <t>제출 현황</t>
        </is>
      </c>
      <c r="B5" s="15" t="n"/>
      <c r="C5" s="5" t="inlineStr">
        <is>
          <t>22명 제출(2차시 활동지 20명: 주제탐구 10 + 습관형성 10, 1차시 활동지 2명). 학급 명단 21명 전원 + 신규 1명(10106).</t>
        </is>
      </c>
      <c r="D5" s="16" t="n"/>
      <c r="E5" s="16" t="n"/>
      <c r="F5" s="16" t="n"/>
      <c r="G5" s="16" t="n"/>
      <c r="H5" s="15" t="n"/>
    </row>
    <row r="6" ht="22" customHeight="1">
      <c r="A6" s="10" t="inlineStr">
        <is>
          <t>트랙 분포</t>
        </is>
      </c>
      <c r="B6" s="15" t="n"/>
      <c r="C6" s="5" t="inlineStr">
        <is>
          <t>주제탐구 12명(2차시 계획서 10명 + 1차시만 제출 2명: 10106, 10114) / 습관형성 10명 / 진로독서 0명</t>
        </is>
      </c>
      <c r="D6" s="16" t="n"/>
      <c r="E6" s="16" t="n"/>
      <c r="F6" s="16" t="n"/>
      <c r="G6" s="16" t="n"/>
      <c r="H6" s="15" t="n"/>
    </row>
    <row r="7" ht="32" customHeight="1">
      <c r="A7" s="10" t="inlineStr">
        <is>
          <t>진로 연결이 뚜렷한 주제</t>
        </is>
      </c>
      <c r="B7" s="15" t="n"/>
      <c r="C7" s="5" t="inlineStr">
        <is>
          <t>김채원(약학과→약물의 체내 작용), 박소연(방사선학과→X선·CT·MRI 비교), 문시우(경찰행정학과→CCTV와 범죄 예방), 김민성(기계공학→로봇·자동화), 박수진(영어교육과→학습효과·영어교육), 나현수·박주빈(유아·초등교육→칭찬의 영향), 성유현(음악→음악 창작)</t>
        </is>
      </c>
      <c r="D7" s="16" t="n"/>
      <c r="E7" s="16" t="n"/>
      <c r="F7" s="16" t="n"/>
      <c r="G7" s="16" t="n"/>
      <c r="H7" s="15" t="n"/>
    </row>
    <row r="8" ht="48" customHeight="1">
      <c r="A8" s="10" t="inlineStr">
        <is>
          <t>완성도가 높았던 사례</t>
        </is>
      </c>
      <c r="B8" s="15" t="n"/>
      <c r="C8" s="5" t="inlineStr">
        <is>
          <t>박소연: 1학기 학과 탐색은 대부분 공란이었으나 이번 계획서는 질문·자료원 모두 매우 구체적
최유나: 막연한 '집중' 목표를 여러 번 고쳐 쓰며 SMART 목표로 구체화한 과정이 가장 잘 드러남
임성미: 개념 학습→실전 연습→오답 복습 흐름을 스스로 설계</t>
        </is>
      </c>
      <c r="D8" s="16" t="n"/>
      <c r="E8" s="16" t="n"/>
      <c r="F8" s="16" t="n"/>
      <c r="G8" s="16" t="n"/>
      <c r="H8" s="15" t="n"/>
    </row>
    <row r="9" ht="80" customHeight="1">
      <c r="A9" s="10" t="inlineStr">
        <is>
          <t>보완 지도가 필요해 보이는 학생</t>
        </is>
      </c>
      <c r="B9" s="15" t="n"/>
      <c r="C9" s="5" t="inlineStr">
        <is>
          <t>김태경: 핵심 질문만 쓰고 하위 질문·자료원 전부 공란
한지훈: 장애물 칸 공란, 6번 최종 목표 칸에 인증 방법을 기재(문항 취지 혼동)
김민성: 하위 질문 2개, 자료원 미기재
나현수·박주빈: 자료원이 AI 도구 위주 → 논문·기관 자료 등 1차 자료 활용 지도 권장
조준호: 기한(T)이 '대학 생활 전까지'로 너무 길어 단기 점검 주기 필요</t>
        </is>
      </c>
      <c r="D9" s="16" t="n"/>
      <c r="E9" s="16" t="n"/>
      <c r="F9" s="16" t="n"/>
      <c r="G9" s="16" t="n"/>
      <c r="H9" s="15" t="n"/>
    </row>
    <row r="10" ht="64" customHeight="1">
      <c r="A10" s="10" t="inlineStr">
        <is>
          <t>확인이 필요한 사항</t>
        </is>
      </c>
      <c r="B10" s="15" t="n"/>
      <c r="C10" s="5" t="inlineStr">
        <is>
          <t>10106 이름 판독('김태영'으로 읽었으나 '김채영' 등일 수 있음)
10114 성유현: 2차시 탐구계획서 미제출(이번 스캔본에 없음)
10101 정솔미: 목표가 TOPIK 5급·한국어 어휘 늘리기 → 한국어 학습 중인 학생 — 1차시 활동지에서 본인이 확인함
10115 양예진: 체중 감량(2kg) 목표 포함 → 무리한 식사 제한보다 운동·균형 잡힌 식습관 중심으로 가는지 살펴볼 필요</t>
        </is>
      </c>
      <c r="D10" s="16" t="n"/>
      <c r="E10" s="16" t="n"/>
      <c r="F10" s="16" t="n"/>
      <c r="G10" s="16" t="n"/>
      <c r="H10" s="15" t="n"/>
    </row>
    <row r="11" ht="48" customHeight="1">
      <c r="A11" s="10" t="inlineStr">
        <is>
          <t>짝 활동 관련</t>
        </is>
      </c>
      <c r="B11" s="15" t="n"/>
      <c r="C11" s="5" t="inlineStr">
        <is>
          <t>나현수·박주빈: 같은 주제로 공동 작성(하위 질문 순서도 맞춤)
김민정·박수진: 서로 짝으로 적었으나 각자 다른 주제로 작성
정솔미·임성미, 양예진·채흔희: 습관형성 짝(목표는 각자 개별)</t>
        </is>
      </c>
      <c r="D11" s="16" t="n"/>
      <c r="E11" s="16" t="n"/>
      <c r="F11" s="16" t="n"/>
      <c r="G11" s="16" t="n"/>
      <c r="H11" s="15" t="n"/>
    </row>
    <row r="13" ht="20" customHeight="1">
      <c r="A13" s="9" t="inlineStr">
        <is>
          <t>2. 학생별 코멘트</t>
        </is>
      </c>
    </row>
    <row r="14">
      <c r="A14" s="3" t="inlineStr">
        <is>
          <t>학번</t>
        </is>
      </c>
      <c r="B14" s="3" t="inlineStr">
        <is>
          <t>이름</t>
        </is>
      </c>
      <c r="C14" s="3" t="inlineStr">
        <is>
          <t>제출 차시</t>
        </is>
      </c>
      <c r="D14" s="3" t="inlineStr">
        <is>
          <t>트랙</t>
        </is>
      </c>
      <c r="E14" s="3" t="inlineStr">
        <is>
          <t>주제 / 습관 목표</t>
        </is>
      </c>
      <c r="F14" s="3" t="inlineStr">
        <is>
          <t>1학기 진로와의 연결</t>
        </is>
      </c>
      <c r="G14" s="3" t="inlineStr">
        <is>
          <t>코멘트(특이사항)</t>
        </is>
      </c>
      <c r="H14" s="3" t="inlineStr">
        <is>
          <t>미기재·확인 필요</t>
        </is>
      </c>
    </row>
    <row r="15" ht="75" customHeight="1">
      <c r="A15" s="4" t="inlineStr">
        <is>
          <t>10101</t>
        </is>
      </c>
      <c r="B15" s="4" t="inlineStr">
        <is>
          <t>정솔미</t>
        </is>
      </c>
      <c r="C15" s="4" t="inlineStr">
        <is>
          <t>P-2 (2차시)</t>
        </is>
      </c>
      <c r="D15" s="4" t="inlineStr">
        <is>
          <t>습관형성</t>
        </is>
      </c>
      <c r="E15" s="5" t="inlineStr">
        <is>
          <t>TOPIK 5급 대비, 매일 한국어 단어 10개 이상 암기</t>
        </is>
      </c>
      <c r="F15" s="5" t="inlineStr">
        <is>
          <t>별개(희망 진로: 안무가)</t>
        </is>
      </c>
      <c r="G15" s="5" t="inlineStr">
        <is>
          <t>목표가 TOPIK(한국어능력시험) 5급·한국어 어휘 늘리기로, 한국어를 학습 중인 학생임(1차시 활동지에 '앞으로 계속 한국에 살 생각이어서 대입·취업을 위해 TOPIK 성적이 필요하다'고 직접 적음). 1학기 희망 진로(안무가)와는 별개인 학습 습관 목표이며, SMART 각 항목을 빠짐없이 구체적으로 작성함</t>
        </is>
      </c>
      <c r="H15" s="5" t="inlineStr">
        <is>
          <t>장애물 2번, 6번 최종 습관 목표 미기재</t>
        </is>
      </c>
    </row>
    <row r="16" ht="60" customHeight="1">
      <c r="A16" s="4" t="inlineStr">
        <is>
          <t>10102</t>
        </is>
      </c>
      <c r="B16" s="4" t="inlineStr">
        <is>
          <t>김민성</t>
        </is>
      </c>
      <c r="C16" s="4" t="inlineStr">
        <is>
          <t>P-2 (2차시)</t>
        </is>
      </c>
      <c r="D16" s="4" t="inlineStr">
        <is>
          <t>주제탐구</t>
        </is>
      </c>
      <c r="E16" s="5" t="inlineStr">
        <is>
          <t>로봇 및 자동화로 인한 미래 사회 영향</t>
        </is>
      </c>
      <c r="F16" s="5" t="inlineStr">
        <is>
          <t>연결됨(기계공학기술자·기계공학과)</t>
        </is>
      </c>
      <c r="G16" s="5" t="inlineStr">
        <is>
          <t>1학기 희망 진로(기계공학기술자·기계공학과)와 직결되는 주제를 선택해 진로 일관성이 이어짐. 다만 핵심 질문이 의문문이 아닌 주제명 형태이고, 하위 질문도 2개에 그쳐 질문 구체화 보완 필요</t>
        </is>
      </c>
      <c r="H16" s="5" t="inlineStr">
        <is>
          <t>하위 질문③, 활용할 자료원 미기재</t>
        </is>
      </c>
    </row>
    <row r="17" ht="90" customHeight="1">
      <c r="A17" s="4" t="inlineStr">
        <is>
          <t>10103</t>
        </is>
      </c>
      <c r="B17" s="4" t="inlineStr">
        <is>
          <t>김민정</t>
        </is>
      </c>
      <c r="C17" s="4" t="inlineStr">
        <is>
          <t>P-2 (2차시)</t>
        </is>
      </c>
      <c r="D17" s="4" t="inlineStr">
        <is>
          <t>주제탐구</t>
        </is>
      </c>
      <c r="E17" s="5" t="inlineStr">
        <is>
          <t>스포츠 사범의 교육 방식이 학생 체력·자신감에 미치는 영향</t>
        </is>
      </c>
      <c r="F17" s="5" t="inlineStr">
        <is>
          <t>연결됨(1차시에서 장래희망 '합기도 사범' 명시)</t>
        </is>
      </c>
      <c r="G17" s="5" t="inlineStr">
        <is>
          <t>개별프로젝트 1차시에서 장래희망을 '합기도 사범'이라고 직접 밝혔고(합기도를 배우는 중), 이번 주제는 그와 정확히 이어짐(1학기 1-7 탐색 학과는 연극영화학과였음). 함께한 친구 박수진(10110)과는 서로 다른 주제로 작성함. 질문·자료원 모두 완성도 높음</t>
        </is>
      </c>
      <c r="H17" s="5" t="inlineStr">
        <is>
          <t>-</t>
        </is>
      </c>
    </row>
    <row r="18" ht="60" customHeight="1">
      <c r="A18" s="4" t="inlineStr">
        <is>
          <t>10104</t>
        </is>
      </c>
      <c r="B18" s="4" t="inlineStr">
        <is>
          <t>김채원</t>
        </is>
      </c>
      <c r="C18" s="4" t="inlineStr">
        <is>
          <t>P-2 (2차시)</t>
        </is>
      </c>
      <c r="D18" s="4" t="inlineStr">
        <is>
          <t>주제탐구</t>
        </is>
      </c>
      <c r="E18" s="5" t="inlineStr">
        <is>
          <t>약물은 어떻게 원하는 곳에 도달하고 몸에 작용할까</t>
        </is>
      </c>
      <c r="F18" s="5" t="inlineStr">
        <is>
          <t>연결됨(약사·약학과)</t>
        </is>
      </c>
      <c r="G18" s="5" t="inlineStr">
        <is>
          <t>1학기 희망 진로(약사·약학과)와 정확히 연결되는 주제로 진로 일관성이 뚜렷함. 하위 질문이 흡수·이동 → 결합 → 용량·부작용 순으로 논리적으로 구성됨</t>
        </is>
      </c>
      <c r="H18" s="5" t="inlineStr">
        <is>
          <t>활용할 자료원이 1개뿐(추가 자료원 보완 권장)</t>
        </is>
      </c>
    </row>
    <row r="19" ht="60" customHeight="1">
      <c r="A19" s="4" t="inlineStr">
        <is>
          <t>10105</t>
        </is>
      </c>
      <c r="B19" s="4" t="inlineStr">
        <is>
          <t>김태경</t>
        </is>
      </c>
      <c r="C19" s="4" t="inlineStr">
        <is>
          <t>P-2 (2차시)</t>
        </is>
      </c>
      <c r="D19" s="4" t="inlineStr">
        <is>
          <t>주제탐구</t>
        </is>
      </c>
      <c r="E19" s="5" t="inlineStr">
        <is>
          <t>북한은 왜 요즘 미사일 등 도발을 자주 할까</t>
        </is>
      </c>
      <c r="F19" s="5" t="inlineStr">
        <is>
          <t>연결됨(정치외교학과)</t>
        </is>
      </c>
      <c r="G19" s="5" t="inlineStr">
        <is>
          <t>1학기 희망 진로(정치학연구자·정치외교학과)와 연결되는 시사 주제를 선택함. 다만 핵심 질문만 작성하고 나머지 칸을 모두 비워 두어 후속 지도 필요</t>
        </is>
      </c>
      <c r="H19" s="5" t="inlineStr">
        <is>
          <t>하위 질문①②③, 활용할 자료원 모두 미기재</t>
        </is>
      </c>
    </row>
    <row r="20" ht="45" customHeight="1">
      <c r="A20" s="12" t="inlineStr">
        <is>
          <t>10106</t>
        </is>
      </c>
      <c r="B20" s="12" t="inlineStr">
        <is>
          <t>김태영(확인 필요)</t>
        </is>
      </c>
      <c r="C20" s="12" t="inlineStr">
        <is>
          <t>P-1 (1차시)</t>
        </is>
      </c>
      <c r="D20" s="12" t="inlineStr">
        <is>
          <t>주제탐구</t>
        </is>
      </c>
      <c r="E20" s="13" t="inlineStr">
        <is>
          <t>동물복지의 필요성과 우리나라 동물복지 현황(군견 관심)</t>
        </is>
      </c>
      <c r="F20" s="13" t="inlineStr">
        <is>
          <t>1학기 기록 없음</t>
        </is>
      </c>
      <c r="G20" s="13" t="inlineStr">
        <is>
          <t>동물·군인이라는 두 관심사를 '군견'이라는 접점으로 연결해 주제를 찾은 점이 인상적임. 1학기 활동 기록이 없는 학생이라 이번이 첫 기록</t>
        </is>
      </c>
      <c r="H20" s="13" t="inlineStr">
        <is>
          <t>이름 판독 확인 필요('김태영'으로 읽었으나 '김채영' 등일 수 있음), 2차시 탐구계획서 미제출
※ 9/26 받은 1차시 스캔본에도 10106 활동지가 한 부 더 있었으나 이름·트랙(주제탐구) 체크 외에는 전부 공란 — 위 내용은 먼저 받은 작성본 기준</t>
        </is>
      </c>
    </row>
    <row r="21" ht="90" customHeight="1">
      <c r="A21" s="4" t="inlineStr">
        <is>
          <t>10107</t>
        </is>
      </c>
      <c r="B21" s="4" t="inlineStr">
        <is>
          <t>나현수</t>
        </is>
      </c>
      <c r="C21" s="4" t="inlineStr">
        <is>
          <t>P-2 (2차시)</t>
        </is>
      </c>
      <c r="D21" s="4" t="inlineStr">
        <is>
          <t>주제탐구</t>
        </is>
      </c>
      <c r="E21" s="5" t="inlineStr">
        <is>
          <t>칭찬은 아이들에게 항상 좋은 영향을 미칠까(박주빈과 공동)</t>
        </is>
      </c>
      <c r="F21" s="5" t="inlineStr">
        <is>
          <t>연결됨(유아교육과)</t>
        </is>
      </c>
      <c r="G21" s="5" t="inlineStr">
        <is>
          <t>1학기 희망 진로(유아교육과)와 연결되는 아동 교육 주제. 짝 박주빈(10111)과 같은 주제·질문이며, 하위 질문 순서를 짝의 활동지와 맞추어 재정렬함. 자료원이 AI 도구 위주로 나열되어 있어 논문·기관 자료 등 신뢰할 수 있는 1차 자료 활용 지도 권장</t>
        </is>
      </c>
      <c r="H21" s="5" t="inlineStr">
        <is>
          <t>-</t>
        </is>
      </c>
    </row>
    <row r="22" ht="60" customHeight="1">
      <c r="A22" s="4" t="inlineStr">
        <is>
          <t>10108</t>
        </is>
      </c>
      <c r="B22" s="4" t="inlineStr">
        <is>
          <t>문시우</t>
        </is>
      </c>
      <c r="C22" s="4" t="inlineStr">
        <is>
          <t>P-2 (2차시)</t>
        </is>
      </c>
      <c r="D22" s="4" t="inlineStr">
        <is>
          <t>주제탐구</t>
        </is>
      </c>
      <c r="E22" s="5" t="inlineStr">
        <is>
          <t>CCTV는 범죄 예방에 어떤 영향을 미치는가</t>
        </is>
      </c>
      <c r="F22" s="5" t="inlineStr">
        <is>
          <t>연결됨(경찰행정학과)</t>
        </is>
      </c>
      <c r="G22" s="5" t="inlineStr">
        <is>
          <t>1학기 1-7 탐색 학과(경찰행정학과)와 직접 연결되는 주제. 현황→활용→효과와 한계로 이어지는 하위 질문 구성과 구체적인 공공기관 자료원 선정이 돋보임</t>
        </is>
      </c>
      <c r="H22" s="5" t="inlineStr">
        <is>
          <t>학번을 한 번 잘못 적고 지운 뒤 10108로 다시 기재함</t>
        </is>
      </c>
    </row>
    <row r="23" ht="60" customHeight="1">
      <c r="A23" s="4" t="inlineStr">
        <is>
          <t>10109</t>
        </is>
      </c>
      <c r="B23" s="4" t="inlineStr">
        <is>
          <t>박소연</t>
        </is>
      </c>
      <c r="C23" s="4" t="inlineStr">
        <is>
          <t>P-2 (2차시)</t>
        </is>
      </c>
      <c r="D23" s="4" t="inlineStr">
        <is>
          <t>주제탐구</t>
        </is>
      </c>
      <c r="E23" s="5" t="inlineStr">
        <is>
          <t>X선·CT·MRI의 진단 정확도와 활용도 비교</t>
        </is>
      </c>
      <c r="F23" s="5" t="inlineStr">
        <is>
          <t>연결됨(방사선사·방사선학과)</t>
        </is>
      </c>
      <c r="G23" s="5" t="inlineStr">
        <is>
          <t>1학기 희망 진로(방사선사·방사선학과)와 정확히 연결됨. 1-7에서는 학과 탐색 항목 대부분이 공란이었던 것에 비해 이번 계획서는 질문·자료원 모두 매우 구체적이고 완성도가 높음</t>
        </is>
      </c>
      <c r="H23" s="5" t="inlineStr">
        <is>
          <t>-</t>
        </is>
      </c>
    </row>
    <row r="24" ht="75" customHeight="1">
      <c r="A24" s="4" t="inlineStr">
        <is>
          <t>10110</t>
        </is>
      </c>
      <c r="B24" s="4" t="inlineStr">
        <is>
          <t>박수진</t>
        </is>
      </c>
      <c r="C24" s="4" t="inlineStr">
        <is>
          <t>P-2 (2차시)</t>
        </is>
      </c>
      <c r="D24" s="4" t="inlineStr">
        <is>
          <t>주제탐구</t>
        </is>
      </c>
      <c r="E24" s="5" t="inlineStr">
        <is>
          <t>학습효과를 높이는 교육 방법(영어교육 중심)</t>
        </is>
      </c>
      <c r="F24" s="5" t="inlineStr">
        <is>
          <t>연결됨(영어교사·영어교육과)</t>
        </is>
      </c>
      <c r="G24" s="5" t="inlineStr">
        <is>
          <t>1학기 희망 진로(영어교사·영어교육과)와 연결됨. 일반 교육 질문 아래에 '영어교육'으로 좁힌 질문을 덧붙여 스스로 주제를 구체화하는 과정이 보임. 함께한 친구 김민정(10103)과는 다른 주제로 작성함</t>
        </is>
      </c>
      <c r="H24" s="5" t="inlineStr">
        <is>
          <t>-</t>
        </is>
      </c>
    </row>
    <row r="25" ht="60" customHeight="1">
      <c r="A25" s="4" t="inlineStr">
        <is>
          <t>10111</t>
        </is>
      </c>
      <c r="B25" s="4" t="inlineStr">
        <is>
          <t>박주빈</t>
        </is>
      </c>
      <c r="C25" s="4" t="inlineStr">
        <is>
          <t>P-2 (2차시)</t>
        </is>
      </c>
      <c r="D25" s="4" t="inlineStr">
        <is>
          <t>주제탐구</t>
        </is>
      </c>
      <c r="E25" s="5" t="inlineStr">
        <is>
          <t>칭찬은 아이들에게 항상 좋은 영향을 미칠까(나현수와 공동)</t>
        </is>
      </c>
      <c r="F25" s="5" t="inlineStr">
        <is>
          <t>연결됨(초등교사·초등교육학과)</t>
        </is>
      </c>
      <c r="G25" s="5" t="inlineStr">
        <is>
          <t>1학기 희망 진로(초등교사·초등교육학과)와 연결되는 아동 교육 주제로, 짝 나현수(10107)와 공동 주제. 하위 질문①이 질문 형태가 아닌 키워드로만 적혀 있음</t>
        </is>
      </c>
      <c r="H25" s="5" t="inlineStr">
        <is>
          <t>이름 옆 교사 표기(빨간 글씨) 있음 — 원본 확인</t>
        </is>
      </c>
    </row>
    <row r="26" ht="60" customHeight="1">
      <c r="A26" s="4" t="inlineStr">
        <is>
          <t>10112</t>
        </is>
      </c>
      <c r="B26" s="4" t="inlineStr">
        <is>
          <t>변선재</t>
        </is>
      </c>
      <c r="C26" s="4" t="inlineStr">
        <is>
          <t>P-2 (2차시)</t>
        </is>
      </c>
      <c r="D26" s="4" t="inlineStr">
        <is>
          <t>주제탐구</t>
        </is>
      </c>
      <c r="E26" s="5" t="inlineStr">
        <is>
          <t>우리은하는 어떤 과정을 거쳐 지금의 모습이 되었을까</t>
        </is>
      </c>
      <c r="F26" s="5" t="inlineStr">
        <is>
          <t>느슨한 연결(항공우주 분야)</t>
        </is>
      </c>
      <c r="G26" s="5" t="inlineStr">
        <is>
          <t>1학기 관심 직업(건축·항공우주·기계·토목 공학기술자) 중 항공우주 분야와 느슨하게 연결되는 천문 주제를 선택함. 필체가 작고 흐려 일부 단어는 문맥으로 판독함</t>
        </is>
      </c>
      <c r="H26" s="5" t="inlineStr">
        <is>
          <t>자료원 첫 항목 판독 다소 어려움(원본 확인 필요)</t>
        </is>
      </c>
    </row>
    <row r="27" ht="60" customHeight="1">
      <c r="A27" s="12" t="inlineStr">
        <is>
          <t>10114</t>
        </is>
      </c>
      <c r="B27" s="12" t="inlineStr">
        <is>
          <t>성유현</t>
        </is>
      </c>
      <c r="C27" s="12" t="inlineStr">
        <is>
          <t>P-1 (1차시)</t>
        </is>
      </c>
      <c r="D27" s="12" t="inlineStr">
        <is>
          <t>주제탐구</t>
        </is>
      </c>
      <c r="E27" s="13" t="inlineStr">
        <is>
          <t>음악을 만드는 사람들의 역할과 특징(잠정)</t>
        </is>
      </c>
      <c r="F27" s="13" t="inlineStr">
        <is>
          <t>연결됨(희망전공 음악)</t>
        </is>
      </c>
      <c r="G27" s="13" t="inlineStr">
        <is>
          <t>1학기 1-4의 희망전공 1순위(음악)와 일관된 음악 창작 분야를 선택함. 트랙 선택 이유 문장이 예시 문구('축구를 좋아해서 축구 전술을 탐구')의 형식을 그대로 따라 쓴 것으로 보임</t>
        </is>
      </c>
      <c r="H27" s="13" t="inlineStr">
        <is>
          <t>2차시 탐구계획서 미제출(이번 스캔본에 없음), 탐구 유형 체크 누락, 잠정 주제 끝부분 스캔 잘림</t>
        </is>
      </c>
    </row>
    <row r="28" ht="90" customHeight="1">
      <c r="A28" s="4" t="inlineStr">
        <is>
          <t>10115</t>
        </is>
      </c>
      <c r="B28" s="4" t="inlineStr">
        <is>
          <t>양예진</t>
        </is>
      </c>
      <c r="C28" s="4" t="inlineStr">
        <is>
          <t>P-2 (2차시)</t>
        </is>
      </c>
      <c r="D28" s="4" t="inlineStr">
        <is>
          <t>습관형성</t>
        </is>
      </c>
      <c r="E28" s="5" t="inlineStr">
        <is>
          <t>홈트·러닝과 건강한 식습관으로 건강 챙기기</t>
        </is>
      </c>
      <c r="F28" s="5" t="inlineStr">
        <is>
          <t>별개(건강 습관)</t>
        </is>
      </c>
      <c r="G28" s="5" t="inlineStr">
        <is>
          <t>식습관·운동 중심의 건강 습관을 선택함. SMART 칸에 여러 번 지우고 고친 흔적이 있어 목표를 구체화하려 고민한 과정이 보임. 체중 감량(2kg) 수치 목표가 포함되어 있으므로, 실천 과정에서 무리한 식사 제한보다 운동·균형 잡힌 식습관 중심으로 가도록 살펴볼 필요</t>
        </is>
      </c>
      <c r="H28" s="5" t="inlineStr">
        <is>
          <t>S·M 항목 수정 흔적이 많아 일부 판독 어려움(원본 확인 권장)</t>
        </is>
      </c>
    </row>
    <row r="29" ht="75" customHeight="1">
      <c r="A29" s="4" t="inlineStr">
        <is>
          <t>10116</t>
        </is>
      </c>
      <c r="B29" s="4" t="inlineStr">
        <is>
          <t>오주영</t>
        </is>
      </c>
      <c r="C29" s="4" t="inlineStr">
        <is>
          <t>P-2 (2차시)</t>
        </is>
      </c>
      <c r="D29" s="4" t="inlineStr">
        <is>
          <t>습관형성</t>
        </is>
      </c>
      <c r="E29" s="5" t="inlineStr">
        <is>
          <t>매일 저녁 30분 공부 후 기록 → 1시간까지 늘리기</t>
        </is>
      </c>
      <c r="F29" s="5" t="inlineStr">
        <is>
          <t>별개(학습 습관)</t>
        </is>
      </c>
      <c r="G29" s="5" t="inlineStr">
        <is>
          <t>실천이 안 된 이유(피곤함, 기록 누락)를 솔직하게 분석하고 그에 맞춘 개선안(시간 줄이기, 3줄 요약)을 세움. 모둠 의견 후 최종 목표를 '1시간이 될 때까지'로 점진적으로 늘리는 방향으로 수정함</t>
        </is>
      </c>
      <c r="H29" s="5" t="inlineStr">
        <is>
          <t>최종 확인 방법 미기재</t>
        </is>
      </c>
    </row>
    <row r="30" ht="60" customHeight="1">
      <c r="A30" s="4" t="inlineStr">
        <is>
          <t>10117</t>
        </is>
      </c>
      <c r="B30" s="4" t="inlineStr">
        <is>
          <t>이가람</t>
        </is>
      </c>
      <c r="C30" s="4" t="inlineStr">
        <is>
          <t>P-2 (2차시)</t>
        </is>
      </c>
      <c r="D30" s="4" t="inlineStr">
        <is>
          <t>습관형성</t>
        </is>
      </c>
      <c r="E30" s="5" t="inlineStr">
        <is>
          <t>한 달에 책 1권, 하루 10쪽 이상 읽기</t>
        </is>
      </c>
      <c r="F30" s="5" t="inlineStr">
        <is>
          <t>별개(독서 습관)</t>
        </is>
      </c>
      <c r="G30" s="5" t="inlineStr">
        <is>
          <t>독서 습관 목표를 하루 10페이지·모르는 단어 3개 등 실천 가능한 단위로 잘 쪼갬. 1학기 관심 분야(스포츠의학과)와는 별개인 기초 학습 습관 목표</t>
        </is>
      </c>
      <c r="H30" s="5" t="inlineStr">
        <is>
          <t>자기평가 척도 중복 체크(보통/만족), 6번 최종 습관 목표 미기재</t>
        </is>
      </c>
    </row>
    <row r="31" ht="60" customHeight="1">
      <c r="A31" s="4" t="inlineStr">
        <is>
          <t>10119</t>
        </is>
      </c>
      <c r="B31" s="4" t="inlineStr">
        <is>
          <t>이영민</t>
        </is>
      </c>
      <c r="C31" s="4" t="inlineStr">
        <is>
          <t>P-2 (2차시)</t>
        </is>
      </c>
      <c r="D31" s="4" t="inlineStr">
        <is>
          <t>습관형성</t>
        </is>
      </c>
      <c r="E31" s="5" t="inlineStr">
        <is>
          <t>하루 30분 독서, 기억나는 문장·단어 쓰기</t>
        </is>
      </c>
      <c r="F31" s="5" t="inlineStr">
        <is>
          <t>별개(독서 습관)</t>
        </is>
      </c>
      <c r="G31" s="5" t="inlineStr">
        <is>
          <t>'문해력 키우기'라는 목적을 스스로 적은 점이 의미 있음. 개선방안이 '귀찮음을 이겨내기'처럼 의지 중심이라 구체적 실천 전략(시간·장소 정하기 등) 보완 지도 가능</t>
        </is>
      </c>
      <c r="H31" s="5" t="inlineStr">
        <is>
          <t>6번 최종 습관 목표 미기재</t>
        </is>
      </c>
    </row>
    <row r="32" ht="60" customHeight="1">
      <c r="A32" s="4" t="inlineStr">
        <is>
          <t>10120</t>
        </is>
      </c>
      <c r="B32" s="4" t="inlineStr">
        <is>
          <t>임성미</t>
        </is>
      </c>
      <c r="C32" s="4" t="inlineStr">
        <is>
          <t>P-2 (2차시)</t>
        </is>
      </c>
      <c r="D32" s="4" t="inlineStr">
        <is>
          <t>습관형성</t>
        </is>
      </c>
      <c r="E32" s="5" t="inlineStr">
        <is>
          <t>중간고사 수학 60점 이상, 매일 5문제 이상 풀기</t>
        </is>
      </c>
      <c r="F32" s="5" t="inlineStr">
        <is>
          <t>별개(학습 습관)</t>
        </is>
      </c>
      <c r="G32" s="5" t="inlineStr">
        <is>
          <t>수학 점수 향상이라는 구체적 목표 아래 개념 학습→실전 연습→오답 복습 흐름을 스스로 설계함. 앱 활용·과거 점수 확인 등 장애물별 개선안도 현실적임</t>
        </is>
      </c>
      <c r="H32" s="5" t="inlineStr">
        <is>
          <t>-</t>
        </is>
      </c>
    </row>
    <row r="33" ht="75" customHeight="1">
      <c r="A33" s="4" t="inlineStr">
        <is>
          <t>10121</t>
        </is>
      </c>
      <c r="B33" s="4" t="inlineStr">
        <is>
          <t>조준호</t>
        </is>
      </c>
      <c r="C33" s="4" t="inlineStr">
        <is>
          <t>P-2 (2차시)</t>
        </is>
      </c>
      <c r="D33" s="4" t="inlineStr">
        <is>
          <t>습관형성</t>
        </is>
      </c>
      <c r="E33" s="5" t="inlineStr">
        <is>
          <t>매일 어려웠던 과목 복습, 주 1회 정리</t>
        </is>
      </c>
      <c r="F33" s="5" t="inlineStr">
        <is>
          <t>별개(학습 습관)</t>
        </is>
      </c>
      <c r="G33" s="5" t="inlineStr">
        <is>
          <t>생활 리듬(취침·기상 시간 불규칙, 시간표 부재)을 스스로 장애물로 짚어낸 점이 눈에 띔. 기한(T)이 '대학 생활 전까지'로 매우 길어, 2주 트래커 기간에 맞는 단기 점검 주기 설정 지도 권장</t>
        </is>
      </c>
      <c r="H33" s="5" t="inlineStr">
        <is>
          <t>최종 확인 방법, 6번 최종 습관 목표 미기재</t>
        </is>
      </c>
    </row>
    <row r="34" ht="90" customHeight="1">
      <c r="A34" s="4" t="inlineStr">
        <is>
          <t>10122</t>
        </is>
      </c>
      <c r="B34" s="4" t="inlineStr">
        <is>
          <t>채흔희</t>
        </is>
      </c>
      <c r="C34" s="4" t="inlineStr">
        <is>
          <t>P-2 (2차시)</t>
        </is>
      </c>
      <c r="D34" s="4" t="inlineStr">
        <is>
          <t>습관형성</t>
        </is>
      </c>
      <c r="E34" s="5" t="inlineStr">
        <is>
          <t>화~금 6시까지 제시간에 학원 가기</t>
        </is>
      </c>
      <c r="F34" s="5" t="inlineStr">
        <is>
          <t>추정 연결(애완동물미용사 자격증 실기 준비)</t>
        </is>
      </c>
      <c r="G34" s="5" t="inlineStr">
        <is>
          <t>이미 일부 개선을 경험했다고 스스로 평가함(늦는 일이 줄었음). T 항목의 '실기 보기 전까지'는 1학기 1-5에서 적었던 애완동물미용사 자격증(필기→실기) 준비와 연결되는 것으로 보임(추정). 뒷면 여백에 낙서(고양이 얼굴·비구름 그림, 'with 예진')가 있음</t>
        </is>
      </c>
      <c r="H34" s="5" t="inlineStr">
        <is>
          <t>S·M 항목 원문을 지우고 다시 씀(최종 내용만 정리)</t>
        </is>
      </c>
    </row>
    <row r="35" ht="60" customHeight="1">
      <c r="A35" s="4" t="inlineStr">
        <is>
          <t>10123</t>
        </is>
      </c>
      <c r="B35" s="4" t="inlineStr">
        <is>
          <t>최유나</t>
        </is>
      </c>
      <c r="C35" s="4" t="inlineStr">
        <is>
          <t>P-2 (2차시)</t>
        </is>
      </c>
      <c r="D35" s="4" t="inlineStr">
        <is>
          <t>습관형성</t>
        </is>
      </c>
      <c r="E35" s="5" t="inlineStr">
        <is>
          <t>2주간 매일 20분 휴대폰 없이 영어 단어 10개 외우기</t>
        </is>
      </c>
      <c r="F35" s="5" t="inlineStr">
        <is>
          <t>별개(학습 습관)</t>
        </is>
      </c>
      <c r="G35" s="5" t="inlineStr">
        <is>
          <t>처음의 막연한 '집중' 목표를 SMART 단계에서 '영어 단어 10개·20분·자기 테스트'로 구체화하기 위해 여러 번 고쳐 쓴 흔적이 뚜렷함 — 목표 구체화 과정이 가장 잘 드러난 사례</t>
        </is>
      </c>
      <c r="H35" s="5" t="inlineStr">
        <is>
          <t>수정 흔적이 많아 최종 기재 내용 위주로 정리함</t>
        </is>
      </c>
    </row>
    <row r="36" ht="75" customHeight="1">
      <c r="A36" s="4" t="inlineStr">
        <is>
          <t>10124</t>
        </is>
      </c>
      <c r="B36" s="4" t="inlineStr">
        <is>
          <t>한지훈</t>
        </is>
      </c>
      <c r="C36" s="4" t="inlineStr">
        <is>
          <t>P-2 (2차시)</t>
        </is>
      </c>
      <c r="D36" s="4" t="inlineStr">
        <is>
          <t>습관형성</t>
        </is>
      </c>
      <c r="E36" s="5" t="inlineStr">
        <is>
          <t>방과 후 스터디카페 1시간 이상 자습, EBS 강의 듣기</t>
        </is>
      </c>
      <c r="F36" s="5" t="inlineStr">
        <is>
          <t>별개(학습 습관)</t>
        </is>
      </c>
      <c r="G36" s="5" t="inlineStr">
        <is>
          <t>SMART 계획(스터디카페·EBS 활용)은 구체적이나, 실천 장애물 분석 칸을 비워 두었고 6번 최종 습관 목표 칸에 인증 방법을 다시 적어 문항 취지를 혼동한 것으로 보임. 1학기 희망 진로(환경학과)와는 별개인 학습 습관 목표</t>
        </is>
      </c>
      <c r="H36" s="5" t="inlineStr">
        <is>
          <t>장애물·개선방안 미기재, 6번에 목표 대신 인증 방법 기재</t>
        </is>
      </c>
    </row>
    <row r="38">
      <c r="A38" s="14" t="inlineStr">
        <is>
          <t>※ 노란색 행: 2차시 계획서 대신 1차시 활동지를 제출했거나 확인이 필요한 학생</t>
        </is>
      </c>
    </row>
  </sheetData>
  <mergeCells count="18">
    <mergeCell ref="A4:H4"/>
    <mergeCell ref="C6:H6"/>
    <mergeCell ref="C10:H10"/>
    <mergeCell ref="C11:H11"/>
    <mergeCell ref="A7:B7"/>
    <mergeCell ref="C7:H7"/>
    <mergeCell ref="C5:H5"/>
    <mergeCell ref="A2:H2"/>
    <mergeCell ref="C9:H9"/>
    <mergeCell ref="A10:B10"/>
    <mergeCell ref="A5:B5"/>
    <mergeCell ref="A11:B11"/>
    <mergeCell ref="C8:H8"/>
    <mergeCell ref="A13:H13"/>
    <mergeCell ref="A1:H1"/>
    <mergeCell ref="A9:B9"/>
    <mergeCell ref="A8:B8"/>
    <mergeCell ref="A6:B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8" customWidth="1" min="1" max="1"/>
    <col width="11" customWidth="1" min="2" max="2"/>
    <col width="13" customWidth="1" min="3" max="3"/>
    <col width="11" customWidth="1" min="4" max="4"/>
    <col width="38" customWidth="1" min="5" max="5"/>
    <col width="30" customWidth="1" min="6" max="6"/>
    <col width="55" customWidth="1" min="7" max="7"/>
    <col width="38" customWidth="1" min="8" max="8"/>
  </cols>
  <sheetData>
    <row r="1" ht="24" customHeight="1">
      <c r="A1" s="1" t="inlineStr">
        <is>
          <t>2026학년도 1학년 1반 개별프로젝트 3차시 — 정리 코멘트 모음</t>
        </is>
      </c>
    </row>
    <row r="2" ht="30" customHeight="1">
      <c r="A2" s="8" t="inlineStr">
        <is>
          <t>※ 2026.9.28 스캔본(20장)을 정리하며 남긴 코멘트. 학생별 시트의 'P-3' 행 특이사항·비고와 같은 내용을 반 전체가 한눈에 보이도록 모은 것임. 3차시는 트랙별 활동지(주제탐구: 자료 수집 / 습관형성: 1주차 습관 기록표).</t>
        </is>
      </c>
    </row>
    <row r="4" ht="20" customHeight="1">
      <c r="A4" s="9" t="inlineStr">
        <is>
          <t>1. 전체 요약</t>
        </is>
      </c>
    </row>
    <row r="5" ht="40" customHeight="1">
      <c r="A5" s="10" t="inlineStr">
        <is>
          <t>제출 현황</t>
        </is>
      </c>
      <c r="B5" s="15" t="n"/>
      <c r="C5" s="5" t="inlineStr">
        <is>
          <t>20장 제출(주제탐구 자료 수집 9명 + 습관형성 기록표 10명 + 2차시 계획서 수정본 1명: 10105 김태경). 미제출 2명: 10106 김태영, 10114 성유현(두 학생 모두 2차시부터 활동지 없음).</t>
        </is>
      </c>
      <c r="D5" s="16" t="n"/>
      <c r="E5" s="16" t="n"/>
      <c r="F5" s="16" t="n"/>
      <c r="G5" s="16" t="n"/>
      <c r="H5" s="15" t="n"/>
    </row>
    <row r="6" ht="40" customHeight="1">
      <c r="A6" s="10" t="inlineStr">
        <is>
          <t>트랙 분포</t>
        </is>
      </c>
      <c r="B6" s="15" t="n"/>
      <c r="C6" s="5" t="inlineStr">
        <is>
          <t>주제탐구 12명(3차시 제출 9명, 수정본 1명, 미제출 2명) / 습관형성 10명(전원 제출) / 진로독서 0명</t>
        </is>
      </c>
      <c r="D6" s="16" t="n"/>
      <c r="E6" s="16" t="n"/>
      <c r="F6" s="16" t="n"/>
      <c r="G6" s="16" t="n"/>
      <c r="H6" s="15" t="n"/>
    </row>
    <row r="7" ht="80" customHeight="1">
      <c r="A7" s="10" t="inlineStr">
        <is>
          <t>완성도가 높았던 사례</t>
        </is>
      </c>
      <c r="B7" s="15" t="n"/>
      <c r="C7" s="5" t="inlineStr">
        <is>
          <t>박소연: 병원·국가기관 자료 5개를 하위 질문별로 묶고 여백까지 채움(1학기 공란이 많던 것과 비교해 큰 성장)
문시우: 통계·학술·뉴스 5개로 '효과와 한계'를 비교할 상반된 결과까지 찾음
김민정·김채원: 공공기관 자료 5개+진로와 연결한 메모(김채원은 2차시 자료원 1개를 5개로 보완)
정솔미: 습관 7/7일 실천, 날마다 스스로 격려하는 한 줄</t>
        </is>
      </c>
      <c r="D7" s="16" t="n"/>
      <c r="E7" s="16" t="n"/>
      <c r="F7" s="16" t="n"/>
      <c r="G7" s="16" t="n"/>
      <c r="H7" s="15" t="n"/>
    </row>
    <row r="8" ht="98" customHeight="1">
      <c r="A8" s="10" t="inlineStr">
        <is>
          <t>보완 지도가 필요해 보이는 학생</t>
        </is>
      </c>
      <c r="B8" s="15" t="n"/>
      <c r="C8" s="5" t="inlineStr">
        <is>
          <t>나현수: 칼럼 제목 1개만 적고 요약 없음
박주빈: 논문 1개(요약 없음)+칼럼 1개
변선재: NASA 자료 1개를 단어로만 적음(1차시 계획은 매우 좋았음)
한지훈: 기록 2일, 실천 일수·소감 공란(2차시에 이어 '돌아보기'가 계속 빠짐)
양예진: 목표(러닝)와 기록(걷기)이 맞지 않고 실천 일수 불분명</t>
        </is>
      </c>
      <c r="D8" s="16" t="n"/>
      <c r="E8" s="16" t="n"/>
      <c r="F8" s="16" t="n"/>
      <c r="G8" s="16" t="n"/>
      <c r="H8" s="15" t="n"/>
    </row>
    <row r="9" ht="62" customHeight="1">
      <c r="A9" s="10" t="inlineStr">
        <is>
          <t>확인이 필요한 사항</t>
        </is>
      </c>
      <c r="B9" s="15" t="n"/>
      <c r="C9" s="5" t="inlineStr">
        <is>
          <t>10105 김태경: 3차시 대신 2차시 계획서 수정본 제출, 주제를 '북한 미사일' → '정치적 가짜뉴스'로 변경(변경 이유 확인)
10106 김태영·10114 성유현: 2·3차시 활동지 없음(결석·미제출 확인)
습관형성 인증: 정솔미·오주영 외 대부분 인증 칸 미체크, 채흔희는 '인증을 안 했다'고 적음 → 인증 방법 재안내</t>
        </is>
      </c>
      <c r="D9" s="16" t="n"/>
      <c r="E9" s="16" t="n"/>
      <c r="F9" s="16" t="n"/>
      <c r="G9" s="16" t="n"/>
      <c r="H9" s="15" t="n"/>
    </row>
    <row r="10" ht="62" customHeight="1">
      <c r="A10" s="10" t="inlineStr">
        <is>
          <t>짝 활동 관련</t>
        </is>
      </c>
      <c r="B10" s="15" t="n"/>
      <c r="C10" s="5" t="inlineStr">
        <is>
          <t>나현수·박주빈: 같은 동아사이언스 칼럼을 찾았으나 둘 다 요약이 부족 — 역할을 나눠 자료를 더 찾도록 안내
이가람: 동료가 응원 한 줄을 적어 줌('가람아 다음 주는 더 많이 읽자')
추석 연휴(목~토)로 습관 기록이 끊긴 학생이 많음(임성미·이영민·채흔희·양예진)</t>
        </is>
      </c>
      <c r="D10" s="16" t="n"/>
      <c r="E10" s="16" t="n"/>
      <c r="F10" s="16" t="n"/>
      <c r="G10" s="16" t="n"/>
      <c r="H10" s="15" t="n"/>
    </row>
    <row r="11" ht="40" customHeight="1">
      <c r="A11" s="10" t="n"/>
      <c r="B11" s="15" t="n"/>
      <c r="C11" s="5" t="n"/>
      <c r="D11" s="16" t="n"/>
      <c r="E11" s="16" t="n"/>
      <c r="F11" s="16" t="n"/>
      <c r="G11" s="16" t="n"/>
      <c r="H11" s="15" t="n"/>
    </row>
    <row r="13" ht="20" customHeight="1">
      <c r="A13" s="9" t="inlineStr">
        <is>
          <t>2. 학생별 코멘트</t>
        </is>
      </c>
    </row>
    <row r="14">
      <c r="A14" s="3" t="inlineStr">
        <is>
          <t>학번</t>
        </is>
      </c>
      <c r="B14" s="3" t="inlineStr">
        <is>
          <t>이름</t>
        </is>
      </c>
      <c r="C14" s="3" t="inlineStr">
        <is>
          <t>제출 차시</t>
        </is>
      </c>
      <c r="D14" s="3" t="inlineStr">
        <is>
          <t>트랙</t>
        </is>
      </c>
      <c r="E14" s="3" t="inlineStr">
        <is>
          <t>주제 / 습관 목표</t>
        </is>
      </c>
      <c r="F14" s="3" t="inlineStr">
        <is>
          <t>2차시와의 연결</t>
        </is>
      </c>
      <c r="G14" s="3" t="inlineStr">
        <is>
          <t>코멘트(특이사항)</t>
        </is>
      </c>
      <c r="H14" s="3" t="inlineStr">
        <is>
          <t>미기재·확인 필요</t>
        </is>
      </c>
    </row>
    <row r="15" ht="75" customHeight="1">
      <c r="A15" s="4" t="inlineStr">
        <is>
          <t>10101</t>
        </is>
      </c>
      <c r="B15" s="4" t="inlineStr">
        <is>
          <t>정솔미</t>
        </is>
      </c>
      <c r="C15" s="4" t="inlineStr">
        <is>
          <t>P-3 (3차시)</t>
        </is>
      </c>
      <c r="D15" s="4" t="inlineStr">
        <is>
          <t>습관형성</t>
        </is>
      </c>
      <c r="E15" s="5" t="inlineStr">
        <is>
          <t>한국어 단어 5일 50개 암기 + 2일 복습</t>
        </is>
      </c>
      <c r="F15" s="5" t="inlineStr">
        <is>
          <t>그대로 이어짐(TOPIK 단어 암기)</t>
        </is>
      </c>
      <c r="G15" s="5" t="inlineStr">
        <is>
          <t>2차시 목표(TOPIK 대비 한국어 단어 매일 10개 이상)를 5일 암기+2일 복습 구조로 짜서 7일 모두 실천함. 날마다 스스로를 격려하는 한 줄이 인상적임. 인증(친구 확인)은 아직 받지 못했다고 솔직히 적음.</t>
        </is>
      </c>
      <c r="H15" s="5" t="inlineStr">
        <is>
          <t>인증 칸 체크 없음(친구 확인 아직 안 받음)</t>
        </is>
      </c>
    </row>
    <row r="16" ht="75" customHeight="1">
      <c r="A16" s="4" t="inlineStr">
        <is>
          <t>10102</t>
        </is>
      </c>
      <c r="B16" s="4" t="inlineStr">
        <is>
          <t>김민성</t>
        </is>
      </c>
      <c r="C16" s="4" t="inlineStr">
        <is>
          <t>P-3 (3차시)</t>
        </is>
      </c>
      <c r="D16" s="4" t="inlineStr">
        <is>
          <t>주제탐구</t>
        </is>
      </c>
      <c r="E16" s="5" t="inlineStr">
        <is>
          <t>로봇 및 자동화로 인한 미래 사회 영향</t>
        </is>
      </c>
      <c r="F16" s="5" t="inlineStr">
        <is>
          <t>그대로 이어짐(로봇 역사·시장)</t>
        </is>
      </c>
      <c r="G16" s="5" t="inlineStr">
        <is>
          <t>2차시 주제(로봇·자동화의 미래 사회 영향)에 맞는 산업 보고서·시장 분석을 찾았고, 메모로 다음 탐구 방향(로봇 발전 속도)을 정함. 다만 자료가 2개뿐이고 '사회 영향'(일자리 등)을 다룬 자료는 아직 없음.</t>
        </is>
      </c>
      <c r="H16" s="5" t="inlineStr">
        <is>
          <t>자료 ③~⑤ 미기재 / 자료 ② 수치 일부 판독 어려움</t>
        </is>
      </c>
    </row>
    <row r="17" ht="75" customHeight="1">
      <c r="A17" s="4" t="inlineStr">
        <is>
          <t>10103</t>
        </is>
      </c>
      <c r="B17" s="4" t="inlineStr">
        <is>
          <t>김민정</t>
        </is>
      </c>
      <c r="C17" s="4" t="inlineStr">
        <is>
          <t>P-3 (3차시)</t>
        </is>
      </c>
      <c r="D17" s="4" t="inlineStr">
        <is>
          <t>주제탐구</t>
        </is>
      </c>
      <c r="E17" s="5" t="inlineStr">
        <is>
          <t>스포츠 사범의 교육 방식이 학생 체력·자신감에 미치는 영향</t>
        </is>
      </c>
      <c r="F17" s="5" t="inlineStr">
        <is>
          <t>그대로 이어짐(사범 자격·역할)</t>
        </is>
      </c>
      <c r="G17" s="5" t="inlineStr">
        <is>
          <t>정부·공공기관 자료 5개로 하위 질문(사범의 자격·역할, 체력·자신감 효과)을 고르게 뒷받침함. 메모에서 탐구 결과를 '좋은 영향을 주는 사범'이라는 자기 진로 다짐으로 연결함. 1차시부터 합기도 사범 진로가 일관됨.</t>
        </is>
      </c>
      <c r="H17" s="5" t="inlineStr">
        <is>
          <t>없음</t>
        </is>
      </c>
    </row>
    <row r="18" ht="75" customHeight="1">
      <c r="A18" s="4" t="inlineStr">
        <is>
          <t>10104</t>
        </is>
      </c>
      <c r="B18" s="4" t="inlineStr">
        <is>
          <t>김채원</t>
        </is>
      </c>
      <c r="C18" s="4" t="inlineStr">
        <is>
          <t>P-3 (3차시)</t>
        </is>
      </c>
      <c r="D18" s="4" t="inlineStr">
        <is>
          <t>주제탐구</t>
        </is>
      </c>
      <c r="E18" s="5" t="inlineStr">
        <is>
          <t>약물은 어떻게 원하는 곳에 도달하고 몸에 작용할까</t>
        </is>
      </c>
      <c r="F18" s="5" t="inlineStr">
        <is>
          <t>그대로 이어짐(자료원 1개 → 5개로 보완)</t>
        </is>
      </c>
      <c r="G18" s="5" t="inlineStr">
        <is>
          <t>2차시에 자료원이 1개뿐이라 보완을 권했는데, 이번엔 식약처·약사회·병원·도서 등 5개로 크게 보완함. 하위 질문(흡수·이동 → 결합 → 용량·부작용) 순서에 맞게 자료를 모음. 약학 진로가 1학기부터 일관됨.</t>
        </is>
      </c>
      <c r="H18" s="5" t="inlineStr">
        <is>
          <t>없음</t>
        </is>
      </c>
    </row>
    <row r="19" ht="75" customHeight="1">
      <c r="A19" s="12" t="inlineStr">
        <is>
          <t>10105</t>
        </is>
      </c>
      <c r="B19" s="12" t="inlineStr">
        <is>
          <t>김태경</t>
        </is>
      </c>
      <c r="C19" s="12" t="inlineStr">
        <is>
          <t>P-2 수정본</t>
        </is>
      </c>
      <c r="D19" s="12" t="inlineStr">
        <is>
          <t>주제탐구</t>
        </is>
      </c>
      <c r="E19" s="13" t="inlineStr">
        <is>
          <t>정치적 가짜뉴스가 정치적 판단에 미치는 영향(주제 변경)</t>
        </is>
      </c>
      <c r="F19" s="13" t="inlineStr">
        <is>
          <t>2차시 계획서 수정(북한 미사일 → 정치적 가짜뉴스)</t>
        </is>
      </c>
      <c r="G19" s="13" t="inlineStr">
        <is>
          <t>2차시에 핵심 질문만 쓰고 비워 두었던 계획서를 주제까지 바꿔(북한 미사일 → 정치적 가짜뉴스) 하위 질문·자료원을 모두 채워 다시 냄. 정치외교 진로와 이어지며 계획서 완성도가 크게 좋아짐. 3차시 자료 수집 활동지는 아직 제출하지 않음.</t>
        </is>
      </c>
      <c r="H19" s="13" t="inlineStr">
        <is>
          <t>3차시 자료 수집 활동지 미제출 / 주제 변경 이유 확인 필요</t>
        </is>
      </c>
    </row>
    <row r="20" ht="75" customHeight="1">
      <c r="A20" s="12" t="inlineStr">
        <is>
          <t>10106</t>
        </is>
      </c>
      <c r="B20" s="12" t="inlineStr">
        <is>
          <t>김태영</t>
        </is>
      </c>
      <c r="C20" s="12" t="inlineStr">
        <is>
          <t>미제출</t>
        </is>
      </c>
      <c r="D20" s="12" t="inlineStr">
        <is>
          <t>주제탐구</t>
        </is>
      </c>
      <c r="E20" s="13" t="inlineStr">
        <is>
          <t>동물복지의 필요성과 우리나라 동물복지 현황(군견 관심)</t>
        </is>
      </c>
      <c r="F20" s="13" t="inlineStr">
        <is>
          <t>2·3차시 활동지 없음</t>
        </is>
      </c>
      <c r="G20" s="13" t="inlineStr">
        <is>
          <t>이번 3차시 묶음에도 활동지가 없음. 2차시 계획서도 미제출 상태라 프로젝트 진행 여부 확인 필요.</t>
        </is>
      </c>
      <c r="H20" s="13" t="inlineStr">
        <is>
          <t>결석·미제출 확인</t>
        </is>
      </c>
    </row>
    <row r="21" ht="75" customHeight="1">
      <c r="A21" s="4" t="inlineStr">
        <is>
          <t>10107</t>
        </is>
      </c>
      <c r="B21" s="4" t="inlineStr">
        <is>
          <t>나현수</t>
        </is>
      </c>
      <c r="C21" s="4" t="inlineStr">
        <is>
          <t>P-3 (3차시)</t>
        </is>
      </c>
      <c r="D21" s="4" t="inlineStr">
        <is>
          <t>주제탐구</t>
        </is>
      </c>
      <c r="E21" s="5" t="inlineStr">
        <is>
          <t>칭찬은 아이들에게 항상 좋은 영향을 미칠까(박주빈과 공동)</t>
        </is>
      </c>
      <c r="F21" s="5" t="inlineStr">
        <is>
          <t>그대로 이어짐(짝과 같은 칼럼)</t>
        </is>
      </c>
      <c r="G21" s="5" t="inlineStr">
        <is>
          <t>짝 박주빈과 같은 칼럼을 찾았으나 내용 요약은 하지 않음. 2차시에는 공동 주제로 탐구계획서를 잘 세웠던 학생이라, 자료를 읽고 요약하는 단계에서 막힌 것인지 확인 필요.</t>
        </is>
      </c>
      <c r="H21" s="5" t="inlineStr">
        <is>
          <t>자료 ①·③~⑤, 핵심 내용 요약 전부, 나의 생각/메모 미기재</t>
        </is>
      </c>
    </row>
    <row r="22" ht="75" customHeight="1">
      <c r="A22" s="4" t="inlineStr">
        <is>
          <t>10108</t>
        </is>
      </c>
      <c r="B22" s="4" t="inlineStr">
        <is>
          <t>문시우</t>
        </is>
      </c>
      <c r="C22" s="4" t="inlineStr">
        <is>
          <t>P-3 (3차시)</t>
        </is>
      </c>
      <c r="D22" s="4" t="inlineStr">
        <is>
          <t>주제탐구</t>
        </is>
      </c>
      <c r="E22" s="5" t="inlineStr">
        <is>
          <t>CCTV는 범죄 예방에 어떤 영향을 미치는가</t>
        </is>
      </c>
      <c r="F22" s="5" t="inlineStr">
        <is>
          <t>그대로 이어짐(현황→활용→효과·한계)</t>
        </is>
      </c>
      <c r="G22" s="5" t="inlineStr">
        <is>
          <t>2차시 하위 질문(현황 → 활용 → 효과와 한계) 순서 그대로 서울시 통계·정부 현황·학술 연구·뉴스를 모음. 특히 '폭력범죄엔 효과, 절도엔 효과 없음'(③)과 '도난 73% 감소'(⑤)처럼 서로 다른 결과를 함께 찾아 '효과와 한계'를 비교할 소재를 갖춤. 경찰행정 진로와 일관됨.</t>
        </is>
      </c>
      <c r="H22" s="5" t="inlineStr">
        <is>
          <t>자료 ① 수치 일부 판독 어려움</t>
        </is>
      </c>
    </row>
    <row r="23" ht="75" customHeight="1">
      <c r="A23" s="4" t="inlineStr">
        <is>
          <t>10109</t>
        </is>
      </c>
      <c r="B23" s="4" t="inlineStr">
        <is>
          <t>박소연</t>
        </is>
      </c>
      <c r="C23" s="4" t="inlineStr">
        <is>
          <t>P-3 (3차시)</t>
        </is>
      </c>
      <c r="D23" s="4" t="inlineStr">
        <is>
          <t>주제탐구</t>
        </is>
      </c>
      <c r="E23" s="5" t="inlineStr">
        <is>
          <t>X선·CT·MRI의 진단 정확도와 활용도 비교</t>
        </is>
      </c>
      <c r="F23" s="5" t="inlineStr">
        <is>
          <t>그대로 이어짐(하위 질문별로 자료 묶음)</t>
        </is>
      </c>
      <c r="G23" s="5" t="inlineStr">
        <is>
          <t>자료를 하위 질문별로 묶어 정리하고 칸이 모자라 여백까지 채울 만큼 충실함. 병원·국가기관 자료로 X선·CT·MRI의 원리·장단점·안전성을 비교했고, 메모에서 방사선사의 역할로 연결함. 1학기에 학과 탐색이 대부분 공란이었던 것과 비교하면 매우 큰 성장.</t>
        </is>
      </c>
      <c r="H23" s="5" t="inlineStr">
        <is>
          <t>여백 보충 문장 일부 판독 어려움 / ②③⑤ 출처가 같은 웹페이지</t>
        </is>
      </c>
    </row>
    <row r="24" ht="75" customHeight="1">
      <c r="A24" s="4" t="inlineStr">
        <is>
          <t>10110</t>
        </is>
      </c>
      <c r="B24" s="4" t="inlineStr">
        <is>
          <t>박수진</t>
        </is>
      </c>
      <c r="C24" s="4" t="inlineStr">
        <is>
          <t>P-3 (3차시)</t>
        </is>
      </c>
      <c r="D24" s="4" t="inlineStr">
        <is>
          <t>주제탐구</t>
        </is>
      </c>
      <c r="E24" s="5" t="inlineStr">
        <is>
          <t>학습효과를 높이는 교육 방법(영어교육 중심)</t>
        </is>
      </c>
      <c r="F24" s="5" t="inlineStr">
        <is>
          <t>그대로 이어짐(영어교육 자료 포함)</t>
        </is>
      </c>
      <c r="G24" s="5" t="inlineStr">
        <is>
          <t>교육부·교육 연구기관 자료 5개를 충실히 요약했고, 자료 ③에서 2차시에 좁힌 '영어교육'을 다룸. 다만 출처가 기관 이름뿐이라 자료 제목·연도를 적도록 안내 필요. 교육 일반 자료가 많아 핵심 질문(학습효과를 높이는 교육 방법)에 대한 직접 근거는 더 찾아야 함.</t>
        </is>
      </c>
      <c r="H24" s="5" t="inlineStr">
        <is>
          <t>출처에 자료 제목·연도 없음(기관명만)</t>
        </is>
      </c>
    </row>
    <row r="25" ht="75" customHeight="1">
      <c r="A25" s="4" t="inlineStr">
        <is>
          <t>10111</t>
        </is>
      </c>
      <c r="B25" s="4" t="inlineStr">
        <is>
          <t>박주빈</t>
        </is>
      </c>
      <c r="C25" s="4" t="inlineStr">
        <is>
          <t>P-3 (3차시)</t>
        </is>
      </c>
      <c r="D25" s="4" t="inlineStr">
        <is>
          <t>주제탐구</t>
        </is>
      </c>
      <c r="E25" s="5" t="inlineStr">
        <is>
          <t>칭찬은 아이들에게 항상 좋은 영향을 미칠까(나현수와 공동)</t>
        </is>
      </c>
      <c r="F25" s="5" t="inlineStr">
        <is>
          <t>그대로 이어짐(짝과 같은 칼럼)</t>
        </is>
      </c>
      <c r="G25" s="5" t="inlineStr">
        <is>
          <t>짝 나현수와 같은 칼럼을 찾았고, 학술 논문까지 한 편 찾은 점은 좋음. 논문 요약과 추가 자료가 비어 있어 다음 차시에 보완 필요.</t>
        </is>
      </c>
      <c r="H25" s="5" t="inlineStr">
        <is>
          <t>자료 ① 요약, 자료 ③~⑤, 나의 생각/메모 미기재</t>
        </is>
      </c>
    </row>
    <row r="26" ht="75" customHeight="1">
      <c r="A26" s="4" t="inlineStr">
        <is>
          <t>10112</t>
        </is>
      </c>
      <c r="B26" s="4" t="inlineStr">
        <is>
          <t>변선재</t>
        </is>
      </c>
      <c r="C26" s="4" t="inlineStr">
        <is>
          <t>P-3 (3차시)</t>
        </is>
      </c>
      <c r="D26" s="4" t="inlineStr">
        <is>
          <t>주제탐구</t>
        </is>
      </c>
      <c r="E26" s="5" t="inlineStr">
        <is>
          <t>우리은하는 어떤 과정을 거쳐 지금의 모습이 되었을까</t>
        </is>
      </c>
      <c r="F26" s="5" t="inlineStr">
        <is>
          <t>그대로 이어짐(NASA 자료)</t>
        </is>
      </c>
      <c r="G26" s="5" t="inlineStr">
        <is>
          <t>1차시에 차시별 산출물까지 적을 만큼 계획을 잘 세웠던 학생인데, 이번엔 자료 1개를 단어로만 적음. 계획 대비 실행이 늦어지고 있어 확인 필요.</t>
        </is>
      </c>
      <c r="H26" s="5" t="inlineStr">
        <is>
          <t>자료 ②~⑤, 나의 생각/메모 미기재 / 자료 ① 요약이 단어 나열</t>
        </is>
      </c>
    </row>
    <row r="27" ht="75" customHeight="1">
      <c r="A27" s="12" t="inlineStr">
        <is>
          <t>10114</t>
        </is>
      </c>
      <c r="B27" s="12" t="inlineStr">
        <is>
          <t>성유현</t>
        </is>
      </c>
      <c r="C27" s="12" t="inlineStr">
        <is>
          <t>미제출</t>
        </is>
      </c>
      <c r="D27" s="12" t="inlineStr">
        <is>
          <t>주제탐구</t>
        </is>
      </c>
      <c r="E27" s="13" t="inlineStr">
        <is>
          <t>음악을 만드는 사람들의 역할과 특징(잠정)</t>
        </is>
      </c>
      <c r="F27" s="13" t="inlineStr">
        <is>
          <t>2·3차시 활동지 없음</t>
        </is>
      </c>
      <c r="G27" s="13" t="inlineStr">
        <is>
          <t>이번 3차시 묶음에도 활동지가 없음. 2차시 계획서도 미제출 상태라 프로젝트 진행 여부 확인 필요.</t>
        </is>
      </c>
      <c r="H27" s="13" t="inlineStr">
        <is>
          <t>결석·미제출 확인</t>
        </is>
      </c>
    </row>
    <row r="28" ht="75" customHeight="1">
      <c r="A28" s="4" t="inlineStr">
        <is>
          <t>10115</t>
        </is>
      </c>
      <c r="B28" s="4" t="inlineStr">
        <is>
          <t>양예진</t>
        </is>
      </c>
      <c r="C28" s="4" t="inlineStr">
        <is>
          <t>P-3 (3차시)</t>
        </is>
      </c>
      <c r="D28" s="4" t="inlineStr">
        <is>
          <t>습관형성</t>
        </is>
      </c>
      <c r="E28" s="5" t="inlineStr">
        <is>
          <t>하루 러닝 10분</t>
        </is>
      </c>
      <c r="F28" s="5" t="inlineStr">
        <is>
          <t>구체화(건강 습관 → 러닝 10분)</t>
        </is>
      </c>
      <c r="G28" s="5" t="inlineStr">
        <is>
          <t>2차시 목표(홈트·러닝과 식습관)에서 '러닝 10분'으로 좁혔으나, 실제로는 걷기 2일·뛰기 1일이라 목표와 기록이 딱 맞지 않음. 스스로 실천이 부족했다고 평가함. '걷기도 인정할지' 등 실천 기준을 함께 정해 주면 좋겠음.</t>
        </is>
      </c>
      <c r="H28" s="5" t="inlineStr">
        <is>
          <t>실천 여부(○/× 겹침)·실천 일수 판독 어려움 / 인증(영상) 체크 없음</t>
        </is>
      </c>
    </row>
    <row r="29" ht="75" customHeight="1">
      <c r="A29" s="4" t="inlineStr">
        <is>
          <t>10116</t>
        </is>
      </c>
      <c r="B29" s="4" t="inlineStr">
        <is>
          <t>오주영</t>
        </is>
      </c>
      <c r="C29" s="4" t="inlineStr">
        <is>
          <t>P-3 (3차시)</t>
        </is>
      </c>
      <c r="D29" s="4" t="inlineStr">
        <is>
          <t>습관형성</t>
        </is>
      </c>
      <c r="E29" s="5" t="inlineStr">
        <is>
          <t>매일 30분 공부(실제 1~2시간)</t>
        </is>
      </c>
      <c r="F29" s="5" t="inlineStr">
        <is>
          <t>그대로 이어짐(목표 시간 초과 달성)</t>
        </is>
      </c>
      <c r="G29" s="5" t="inlineStr">
        <is>
          <t>2차시 목표(저녁 30분 공부 → 1시간까지 늘리기)를 넘겨 실천한 날마다 1~2시간씩 공부함. 친구 인증도 받음. 느낀 점에서 '시작 시간을 놓치면 못 한다'는 원인을 스스로 짚어, 다음 주에는 시작 시간을 정해 두도록 도우면 좋겠음.</t>
        </is>
      </c>
      <c r="H29" s="5" t="inlineStr">
        <is>
          <t>월·화·일 실천 기록, 오늘의 한 줄 미기재</t>
        </is>
      </c>
    </row>
    <row r="30" ht="75" customHeight="1">
      <c r="A30" s="4" t="inlineStr">
        <is>
          <t>10117</t>
        </is>
      </c>
      <c r="B30" s="4" t="inlineStr">
        <is>
          <t>이가람</t>
        </is>
      </c>
      <c r="C30" s="4" t="inlineStr">
        <is>
          <t>P-3 (3차시)</t>
        </is>
      </c>
      <c r="D30" s="4" t="inlineStr">
        <is>
          <t>습관형성</t>
        </is>
      </c>
      <c r="E30" s="5" t="inlineStr">
        <is>
          <t>책 하루 10쪽 이상 읽기</t>
        </is>
      </c>
      <c r="F30" s="5" t="inlineStr">
        <is>
          <t>그대로 이어짐(하루 10쪽)</t>
        </is>
      </c>
      <c r="G30" s="5" t="inlineStr">
        <is>
          <t>2차시 목표(하루 10쪽 이상)를 그대로 가져왔으나 2일만 실천함. 동료가 응원 한 줄을 적어 준 점이 좋음. 스스로 부족함을 알아차렸으므로 읽는 시간대를 정하도록 도우면 좋겠음. 1차시 트랙 중복 체크 이후 습관형성(독서 습관)으로 정리된 상태.</t>
        </is>
      </c>
      <c r="H30" s="5" t="inlineStr">
        <is>
          <t>월·수·목·금·일 기록 없음 / 인증 체크 없음</t>
        </is>
      </c>
    </row>
    <row r="31" ht="75" customHeight="1">
      <c r="A31" s="4" t="inlineStr">
        <is>
          <t>10119</t>
        </is>
      </c>
      <c r="B31" s="4" t="inlineStr">
        <is>
          <t>이영민</t>
        </is>
      </c>
      <c r="C31" s="4" t="inlineStr">
        <is>
          <t>P-3 (3차시)</t>
        </is>
      </c>
      <c r="D31" s="4" t="inlineStr">
        <is>
          <t>습관형성</t>
        </is>
      </c>
      <c r="E31" s="5" t="inlineStr">
        <is>
          <t>책 읽고 기억나는 문장 쓰기(150쪽까지)</t>
        </is>
      </c>
      <c r="F31" s="5" t="inlineStr">
        <is>
          <t>그대로 이어짐(독서·문장 쓰기)</t>
        </is>
      </c>
      <c r="G31" s="5" t="inlineStr">
        <is>
          <t>2차시 목표(하루 30분 독서, 기억나는 문장 쓰기)를 '읽고 기억나는 문장 쓰기'로 이어서 3일 실천함. 수~토 칸을 크게 지운 흔적이 있어 기록 부담이나 실천 어려움이 있었는지 가볍게 물어봐 주면 좋겠음.</t>
        </is>
      </c>
      <c r="H31" s="5" t="inlineStr">
        <is>
          <t>확인(인증) 방법·쪽수 일부 판독 어려움 / 수~토 칸 지움</t>
        </is>
      </c>
    </row>
    <row r="32" ht="75" customHeight="1">
      <c r="A32" s="4" t="inlineStr">
        <is>
          <t>10120</t>
        </is>
      </c>
      <c r="B32" s="4" t="inlineStr">
        <is>
          <t>임성미</t>
        </is>
      </c>
      <c r="C32" s="4" t="inlineStr">
        <is>
          <t>P-3 (3차시)</t>
        </is>
      </c>
      <c r="D32" s="4" t="inlineStr">
        <is>
          <t>습관형성</t>
        </is>
      </c>
      <c r="E32" s="5" t="inlineStr">
        <is>
          <t>집중해서 매일 수학 문제 5개 이상</t>
        </is>
      </c>
      <c r="F32" s="5" t="inlineStr">
        <is>
          <t>그대로 이어짐(수학 5문제·오답)</t>
        </is>
      </c>
      <c r="G32" s="5" t="inlineStr">
        <is>
          <t>2차시 목표(수학 60점, 매일 5문제)와 1차시 계획(오답 다시 풀기)을 그대로 실천에 옮김. 하루하루 스스로에게 주는 조언을 한 줄에 적어 기록의 질이 높음. 추석 연휴 3일 공백을 스스로 반성하고 다음 주 목표를 다시 정함.</t>
        </is>
      </c>
      <c r="H32" s="5" t="inlineStr">
        <is>
          <t>목·금·토 미실천(추석 연휴)</t>
        </is>
      </c>
    </row>
    <row r="33" ht="75" customHeight="1">
      <c r="A33" s="4" t="inlineStr">
        <is>
          <t>10121</t>
        </is>
      </c>
      <c r="B33" s="4" t="inlineStr">
        <is>
          <t>조준호</t>
        </is>
      </c>
      <c r="C33" s="4" t="inlineStr">
        <is>
          <t>P-3 (3차시)</t>
        </is>
      </c>
      <c r="D33" s="4" t="inlineStr">
        <is>
          <t>습관형성</t>
        </is>
      </c>
      <c r="E33" s="5" t="inlineStr">
        <is>
          <t>공부 꾸준히 하기(복습)</t>
        </is>
      </c>
      <c r="F33" s="5" t="inlineStr">
        <is>
          <t>느슨하게 이어짐(복습 → 공부 시간 전반)</t>
        </is>
      </c>
      <c r="G33" s="5" t="inlineStr">
        <is>
          <t>5일 실천하며 매일 시간을 기록함. 다만 이번 주 목표가 '공부 꾸준히 하기'로 막연하고, 2차시 목표(어려웠던 과목 복습)와 달리 학원 공부 시간이 섞여 있어 '스스로 복습한 시간'만 따로 기록하도록 안내하면 좋겠음.</t>
        </is>
      </c>
      <c r="H33" s="5" t="inlineStr">
        <is>
          <t>목·금 기록 없음 / 인증(시작·끝 시간) 기록 없음 / 목표가 막연함</t>
        </is>
      </c>
    </row>
    <row r="34" ht="75" customHeight="1">
      <c r="A34" s="4" t="inlineStr">
        <is>
          <t>10122</t>
        </is>
      </c>
      <c r="B34" s="4" t="inlineStr">
        <is>
          <t>채흔희</t>
        </is>
      </c>
      <c r="C34" s="4" t="inlineStr">
        <is>
          <t>P-3 (3차시)</t>
        </is>
      </c>
      <c r="D34" s="4" t="inlineStr">
        <is>
          <t>습관형성</t>
        </is>
      </c>
      <c r="E34" s="5" t="inlineStr">
        <is>
          <t>화~금 6시까지 학원 가기</t>
        </is>
      </c>
      <c r="F34" s="5" t="inlineStr">
        <is>
          <t>그대로 이어짐(학원 가는 날 모두 지킴)</t>
        </is>
      </c>
      <c r="G34" s="5" t="inlineStr">
        <is>
          <t>2차시 목표(화~금 6시까지 학원 가기)대로 학원 가는 날(화·수)은 모두 지킴. 연휴·주말을 빼면 사실상 목표를 달성했으나 인증은 하지 않았다고 적음. 느낀 점이 한 줄이라 다음 주엔 소감을 조금 더 쓰도록 격려.</t>
        </is>
      </c>
      <c r="H34" s="5" t="inlineStr">
        <is>
          <t>월요일 기록 없음 / 인증 사진 미실시 / 느낀 점이 한 줄</t>
        </is>
      </c>
    </row>
    <row r="35" ht="75" customHeight="1">
      <c r="A35" s="4" t="inlineStr">
        <is>
          <t>10123</t>
        </is>
      </c>
      <c r="B35" s="4" t="inlineStr">
        <is>
          <t>최유나</t>
        </is>
      </c>
      <c r="C35" s="4" t="inlineStr">
        <is>
          <t>P-3 (3차시)</t>
        </is>
      </c>
      <c r="D35" s="4" t="inlineStr">
        <is>
          <t>습관형성</t>
        </is>
      </c>
      <c r="E35" s="5" t="inlineStr">
        <is>
          <t>영어 단어 하루 10개, 주 50개</t>
        </is>
      </c>
      <c r="F35" s="5" t="inlineStr">
        <is>
          <t>그대로 이어짐(단어 10개)</t>
        </is>
      </c>
      <c r="G35" s="5" t="inlineStr">
        <is>
          <t>2차시 SMART 목표(휴대폰 없이 영어 단어 10개)를 그대로 실천해 주간 목표 50개를 달성함. '나눠서 하니 부담이 적다'는 스스로의 깨달음이 좋음.</t>
        </is>
      </c>
      <c r="H35" s="5" t="inlineStr">
        <is>
          <t>인증 칸 체크 없음</t>
        </is>
      </c>
    </row>
    <row r="36" ht="75" customHeight="1">
      <c r="A36" s="4" t="inlineStr">
        <is>
          <t>10124</t>
        </is>
      </c>
      <c r="B36" s="4" t="inlineStr">
        <is>
          <t>한지훈</t>
        </is>
      </c>
      <c r="C36" s="4" t="inlineStr">
        <is>
          <t>P-3 (3차시)</t>
        </is>
      </c>
      <c r="D36" s="4" t="inlineStr">
        <is>
          <t>습관형성</t>
        </is>
      </c>
      <c r="E36" s="5" t="inlineStr">
        <is>
          <t>평일 인강 1강·주말 2강·자기주도 3시간</t>
        </is>
      </c>
      <c r="F36" s="5" t="inlineStr">
        <is>
          <t>그대로 이어짐(인강·자습)</t>
        </is>
      </c>
      <c r="G36" s="5" t="inlineStr">
        <is>
          <t>2차시 계획(스터디카페·EBS 자습)과 이어지는 목표를 세웠고, 기록한 이틀은 순공 시간까지 구체적임. 그러나 나머지 날과 소감이 비어 있어 2차시(장애물 칸 공란)에 이어 '돌아보기' 부분이 계속 빠지는 경향이 있음.</t>
        </is>
      </c>
      <c r="H36" s="5" t="inlineStr">
        <is>
          <t>월~수 실천 내용, 토·일, 한 줄, 실천 일수, 느낀 점 미기재</t>
        </is>
      </c>
    </row>
    <row r="38">
      <c r="A38" s="14" t="inlineStr">
        <is>
          <t>※ 노란색 행: 3차시 활동지 대신 2차시 계획서 수정본을 냈거나(10105), 2·3차시 활동지가 없는 학생(10106·10114)</t>
        </is>
      </c>
    </row>
  </sheetData>
  <mergeCells count="18">
    <mergeCell ref="A4:H4"/>
    <mergeCell ref="C6:H6"/>
    <mergeCell ref="C10:H10"/>
    <mergeCell ref="C11:H11"/>
    <mergeCell ref="A7:B7"/>
    <mergeCell ref="C7:H7"/>
    <mergeCell ref="C5:H5"/>
    <mergeCell ref="A11:B11"/>
    <mergeCell ref="A2:H2"/>
    <mergeCell ref="C9:H9"/>
    <mergeCell ref="A5:B5"/>
    <mergeCell ref="A10:B10"/>
    <mergeCell ref="C8:H8"/>
    <mergeCell ref="A13:H13"/>
    <mergeCell ref="A1:H1"/>
    <mergeCell ref="A9:B9"/>
    <mergeCell ref="A8:B8"/>
    <mergeCell ref="A6:B6"/>
  </mergeCells>
  <pageMargins left="0.75" right="0.75" top="1" bottom="1" header="0.5" footer="0.5"/>
</worksheet>
</file>

<file path=xl/worksheets/sheet26.xml><?xml version="1.0" encoding="utf-8"?>
<worksheet xmlns="http://schemas.openxmlformats.org/spreadsheetml/2006/main">
  <sheetPr>
    <tabColor rgb="0070AD47"/>
    <outlinePr summaryBelow="1" summaryRight="1"/>
    <pageSetUpPr/>
  </sheetPr>
  <dimension ref="A1:W33"/>
  <sheetViews>
    <sheetView zoomScale="90" workbookViewId="0">
      <pane xSplit="4" ySplit="5" topLeftCell="E6"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0" customWidth="1" min="3" max="3"/>
    <col width="30"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8" customWidth="1" min="21" max="21"/>
    <col width="8" customWidth="1" min="22" max="22"/>
    <col width="70" customWidth="1" min="23" max="23"/>
  </cols>
  <sheetData>
    <row r="1">
      <c r="A1" s="1" t="inlineStr">
        <is>
          <t>2026학년도 1학년 1반 진로 프로젝트 진행 확인표</t>
        </is>
      </c>
    </row>
    <row r="2" ht="42" customHeight="1">
      <c r="A2" s="7" t="inlineStr">
        <is>
          <t>※ 제출: ○ 제출 / × 미제출(빈칸 제출도 ○로 표시하고 기록정도 '하')   ※ 기록정도 — 상: 모든 항목을 구체적으로 작성(주제탐구는 자료 3개 이상+요약) / 중: 핵심 항목은 작성했으나 일부 빈칸·자료 부족 / 하: 대부분 빈칸이거나 출처·한 줄만 작성   ※ 이후 차시 칸은 드롭다운으로 직접 입력하면 색이 자동으로 칠해짐</t>
        </is>
      </c>
    </row>
    <row r="4">
      <c r="A4" s="3" t="inlineStr">
        <is>
          <t>학번</t>
        </is>
      </c>
      <c r="B4" s="3" t="inlineStr">
        <is>
          <t>이름</t>
        </is>
      </c>
      <c r="C4" s="3" t="inlineStr">
        <is>
          <t>트랙</t>
        </is>
      </c>
      <c r="D4" s="3" t="inlineStr">
        <is>
          <t>주제 / 도서 / 습관</t>
        </is>
      </c>
      <c r="E4" s="3" t="inlineStr">
        <is>
          <t>P-1</t>
        </is>
      </c>
      <c r="F4" s="3" t="n"/>
      <c r="G4" s="3" t="inlineStr">
        <is>
          <t>P-2</t>
        </is>
      </c>
      <c r="H4" s="3" t="n"/>
      <c r="I4" s="3" t="inlineStr">
        <is>
          <t>P-3</t>
        </is>
      </c>
      <c r="J4" s="3" t="n"/>
      <c r="K4" s="3" t="inlineStr">
        <is>
          <t>P-4</t>
        </is>
      </c>
      <c r="L4" s="3" t="n"/>
      <c r="M4" s="3" t="inlineStr">
        <is>
          <t>P-5</t>
        </is>
      </c>
      <c r="N4" s="3" t="n"/>
      <c r="O4" s="3" t="inlineStr">
        <is>
          <t>P-6</t>
        </is>
      </c>
      <c r="P4" s="3" t="n"/>
      <c r="Q4" s="3" t="inlineStr">
        <is>
          <t>P-7</t>
        </is>
      </c>
      <c r="R4" s="3" t="n"/>
      <c r="S4" s="3" t="inlineStr">
        <is>
          <t>P-8</t>
        </is>
      </c>
      <c r="T4" s="3" t="n"/>
      <c r="U4" s="3" t="inlineStr">
        <is>
          <t>제출
차시 수</t>
        </is>
      </c>
      <c r="V4" s="3" t="inlineStr">
        <is>
          <t>'상'
차시 수</t>
        </is>
      </c>
      <c r="W4" s="3" t="inlineStr">
        <is>
          <t>간단기록(차시별 흐름 · 지도 포인트)</t>
        </is>
      </c>
    </row>
    <row r="5">
      <c r="A5" s="3" t="n"/>
      <c r="B5" s="3" t="n"/>
      <c r="C5" s="3" t="n"/>
      <c r="D5" s="3" t="n"/>
      <c r="E5" s="3" t="inlineStr">
        <is>
          <t>제출</t>
        </is>
      </c>
      <c r="F5" s="3" t="inlineStr">
        <is>
          <t>기록</t>
        </is>
      </c>
      <c r="G5" s="3" t="inlineStr">
        <is>
          <t>제출</t>
        </is>
      </c>
      <c r="H5" s="3" t="inlineStr">
        <is>
          <t>기록</t>
        </is>
      </c>
      <c r="I5" s="3" t="inlineStr">
        <is>
          <t>제출</t>
        </is>
      </c>
      <c r="J5" s="3" t="inlineStr">
        <is>
          <t>기록</t>
        </is>
      </c>
      <c r="K5" s="3" t="inlineStr">
        <is>
          <t>제출</t>
        </is>
      </c>
      <c r="L5" s="3" t="inlineStr">
        <is>
          <t>기록</t>
        </is>
      </c>
      <c r="M5" s="3" t="inlineStr">
        <is>
          <t>제출</t>
        </is>
      </c>
      <c r="N5" s="3" t="inlineStr">
        <is>
          <t>기록</t>
        </is>
      </c>
      <c r="O5" s="3" t="inlineStr">
        <is>
          <t>제출</t>
        </is>
      </c>
      <c r="P5" s="3" t="inlineStr">
        <is>
          <t>기록</t>
        </is>
      </c>
      <c r="Q5" s="3" t="inlineStr">
        <is>
          <t>제출</t>
        </is>
      </c>
      <c r="R5" s="3" t="inlineStr">
        <is>
          <t>기록</t>
        </is>
      </c>
      <c r="S5" s="3" t="inlineStr">
        <is>
          <t>제출</t>
        </is>
      </c>
      <c r="T5" s="3" t="inlineStr">
        <is>
          <t>기록</t>
        </is>
      </c>
      <c r="U5" s="3" t="n"/>
      <c r="V5" s="3" t="n"/>
      <c r="W5" s="3" t="n"/>
    </row>
    <row r="6" ht="36" customHeight="1">
      <c r="A6" s="4" t="n">
        <v>10101</v>
      </c>
      <c r="B6" s="4" t="inlineStr">
        <is>
          <t>정솔미</t>
        </is>
      </c>
      <c r="C6" s="4" t="inlineStr">
        <is>
          <t>습관형성</t>
        </is>
      </c>
      <c r="D6" s="5" t="inlineStr">
        <is>
          <t>한국어 단어 5일 50개 암기 + 2일 복습</t>
        </is>
      </c>
      <c r="E6" s="4" t="inlineStr">
        <is>
          <t>○</t>
        </is>
      </c>
      <c r="F6" s="4" t="inlineStr">
        <is>
          <t>중</t>
        </is>
      </c>
      <c r="G6" s="4" t="inlineStr">
        <is>
          <t>○</t>
        </is>
      </c>
      <c r="H6" s="4" t="inlineStr">
        <is>
          <t>중</t>
        </is>
      </c>
      <c r="I6" s="4" t="inlineStr">
        <is>
          <t>○</t>
        </is>
      </c>
      <c r="J6" s="4" t="inlineStr">
        <is>
          <t>상</t>
        </is>
      </c>
      <c r="K6" s="4" t="n"/>
      <c r="L6" s="4" t="n"/>
      <c r="M6" s="4" t="n"/>
      <c r="N6" s="4" t="n"/>
      <c r="O6" s="4" t="n"/>
      <c r="P6" s="4" t="n"/>
      <c r="Q6" s="4" t="n"/>
      <c r="R6" s="4" t="n"/>
      <c r="S6" s="4" t="n"/>
      <c r="T6" s="4" t="n"/>
      <c r="U6" s="4">
        <f>COUNTIF(E6:T6,"○")</f>
        <v/>
      </c>
      <c r="V6" s="4">
        <f>COUNTIF(E6:T6,"상")</f>
        <v/>
      </c>
      <c r="W6" s="5" t="inlineStr">
        <is>
          <t>P-1 TOPIK 단어 습관 → P-2 목표 작성(장애물 일부 미기재) → P-3 단어 7/7일 실천, 자기 격려 한 줄</t>
        </is>
      </c>
    </row>
    <row r="7" ht="36" customHeight="1">
      <c r="A7" s="4" t="n">
        <v>10102</v>
      </c>
      <c r="B7" s="4" t="inlineStr">
        <is>
          <t>김민성</t>
        </is>
      </c>
      <c r="C7" s="4" t="inlineStr">
        <is>
          <t>주제탐구</t>
        </is>
      </c>
      <c r="D7" s="5" t="inlineStr">
        <is>
          <t>로봇 및 자동화로 인한 미래 사회 영향</t>
        </is>
      </c>
      <c r="E7" s="4" t="inlineStr">
        <is>
          <t>○</t>
        </is>
      </c>
      <c r="F7" s="4" t="inlineStr">
        <is>
          <t>중</t>
        </is>
      </c>
      <c r="G7" s="4" t="inlineStr">
        <is>
          <t>○</t>
        </is>
      </c>
      <c r="H7" s="4" t="inlineStr">
        <is>
          <t>중</t>
        </is>
      </c>
      <c r="I7" s="4" t="inlineStr">
        <is>
          <t>○</t>
        </is>
      </c>
      <c r="J7" s="4" t="inlineStr">
        <is>
          <t>중</t>
        </is>
      </c>
      <c r="K7" s="4" t="n"/>
      <c r="L7" s="4" t="n"/>
      <c r="M7" s="4" t="n"/>
      <c r="N7" s="4" t="n"/>
      <c r="O7" s="4" t="n"/>
      <c r="P7" s="4" t="n"/>
      <c r="Q7" s="4" t="n"/>
      <c r="R7" s="4" t="n"/>
      <c r="S7" s="4" t="n"/>
      <c r="T7" s="4" t="n"/>
      <c r="U7" s="4">
        <f>COUNTIF(E7:T7,"○")</f>
        <v/>
      </c>
      <c r="V7" s="4">
        <f>COUNTIF(E7:T7,"상")</f>
        <v/>
      </c>
      <c r="W7" s="5" t="inlineStr">
        <is>
          <t>P-1 기계공학 관심·주제 미정 → P-2 로봇·자동화(하위③·자료원 미기재) → P-3 로봇 보고서·시장 분석 2개+메모</t>
        </is>
      </c>
    </row>
    <row r="8" ht="36" customHeight="1">
      <c r="A8" s="4" t="n">
        <v>10103</v>
      </c>
      <c r="B8" s="4" t="inlineStr">
        <is>
          <t>김민정</t>
        </is>
      </c>
      <c r="C8" s="4" t="inlineStr">
        <is>
          <t>주제탐구</t>
        </is>
      </c>
      <c r="D8" s="5" t="inlineStr">
        <is>
          <t>스포츠 사범의 교육 방식이 학생 체력·자신감에 미치는 영향</t>
        </is>
      </c>
      <c r="E8" s="4" t="inlineStr">
        <is>
          <t>○</t>
        </is>
      </c>
      <c r="F8" s="4" t="inlineStr">
        <is>
          <t>중</t>
        </is>
      </c>
      <c r="G8" s="4" t="inlineStr">
        <is>
          <t>○</t>
        </is>
      </c>
      <c r="H8" s="4" t="inlineStr">
        <is>
          <t>상</t>
        </is>
      </c>
      <c r="I8" s="4" t="inlineStr">
        <is>
          <t>○</t>
        </is>
      </c>
      <c r="J8" s="4" t="inlineStr">
        <is>
          <t>상</t>
        </is>
      </c>
      <c r="K8" s="4" t="n"/>
      <c r="L8" s="4" t="n"/>
      <c r="M8" s="4" t="n"/>
      <c r="N8" s="4" t="n"/>
      <c r="O8" s="4" t="n"/>
      <c r="P8" s="4" t="n"/>
      <c r="Q8" s="4" t="n"/>
      <c r="R8" s="4" t="n"/>
      <c r="S8" s="4" t="n"/>
      <c r="T8" s="4" t="n"/>
      <c r="U8" s="4">
        <f>COUNTIF(E8:T8,"○")</f>
        <v/>
      </c>
      <c r="V8" s="4">
        <f>COUNTIF(E8:T8,"상")</f>
        <v/>
      </c>
      <c r="W8" s="5" t="inlineStr">
        <is>
          <t>P-1 합기도 사범 진로 명시 → P-2 사범 교육 방식 질문 완성 → P-3 공공기관 자료 5개+진로 다짐 메모</t>
        </is>
      </c>
    </row>
    <row r="9" ht="36" customHeight="1">
      <c r="A9" s="4" t="n">
        <v>10104</v>
      </c>
      <c r="B9" s="4" t="inlineStr">
        <is>
          <t>김채원</t>
        </is>
      </c>
      <c r="C9" s="4" t="inlineStr">
        <is>
          <t>주제탐구</t>
        </is>
      </c>
      <c r="D9" s="5" t="inlineStr">
        <is>
          <t>약물은 어떻게 원하는 곳에 도달하고 몸에 작용할까</t>
        </is>
      </c>
      <c r="E9" s="4" t="inlineStr">
        <is>
          <t>○</t>
        </is>
      </c>
      <c r="F9" s="4" t="inlineStr">
        <is>
          <t>상</t>
        </is>
      </c>
      <c r="G9" s="4" t="inlineStr">
        <is>
          <t>○</t>
        </is>
      </c>
      <c r="H9" s="4" t="inlineStr">
        <is>
          <t>상</t>
        </is>
      </c>
      <c r="I9" s="4" t="inlineStr">
        <is>
          <t>○</t>
        </is>
      </c>
      <c r="J9" s="4" t="inlineStr">
        <is>
          <t>상</t>
        </is>
      </c>
      <c r="K9" s="4" t="n"/>
      <c r="L9" s="4" t="n"/>
      <c r="M9" s="4" t="n"/>
      <c r="N9" s="4" t="n"/>
      <c r="O9" s="4" t="n"/>
      <c r="P9" s="4" t="n"/>
      <c r="Q9" s="4" t="n"/>
      <c r="R9" s="4" t="n"/>
      <c r="S9" s="4" t="n"/>
      <c r="T9" s="4" t="n"/>
      <c r="U9" s="4">
        <f>COUNTIF(E9:T9,"○")</f>
        <v/>
      </c>
      <c r="V9" s="4">
        <f>COUNTIF(E9:T9,"상")</f>
        <v/>
      </c>
      <c r="W9" s="5" t="inlineStr">
        <is>
          <t>P-1 과학과 약학 → P-2 약물의 체내 작용(자료원 1개) → P-3 식약처·약사회 등 5개+메모(자료원 보완)</t>
        </is>
      </c>
    </row>
    <row r="10" ht="36" customHeight="1">
      <c r="A10" s="4" t="n">
        <v>10105</v>
      </c>
      <c r="B10" s="4" t="inlineStr">
        <is>
          <t>김태경</t>
        </is>
      </c>
      <c r="C10" s="4" t="inlineStr">
        <is>
          <t>주제탐구</t>
        </is>
      </c>
      <c r="D10" s="5" t="inlineStr">
        <is>
          <t>정치적 가짜뉴스가 정치적 판단에 미치는 영향(주제 변경)</t>
        </is>
      </c>
      <c r="E10" s="4" t="inlineStr">
        <is>
          <t>○</t>
        </is>
      </c>
      <c r="F10" s="4" t="inlineStr">
        <is>
          <t>중</t>
        </is>
      </c>
      <c r="G10" s="4" t="inlineStr">
        <is>
          <t>○</t>
        </is>
      </c>
      <c r="H10" s="4" t="inlineStr">
        <is>
          <t>상</t>
        </is>
      </c>
      <c r="I10" s="4" t="inlineStr">
        <is>
          <t>×</t>
        </is>
      </c>
      <c r="J10" s="4" t="n"/>
      <c r="K10" s="4" t="n"/>
      <c r="L10" s="4" t="n"/>
      <c r="M10" s="4" t="n"/>
      <c r="N10" s="4" t="n"/>
      <c r="O10" s="4" t="n"/>
      <c r="P10" s="4" t="n"/>
      <c r="Q10" s="4" t="n"/>
      <c r="R10" s="4" t="n"/>
      <c r="S10" s="4" t="n"/>
      <c r="T10" s="4" t="n"/>
      <c r="U10" s="4">
        <f>COUNTIF(E10:T10,"○")</f>
        <v/>
      </c>
      <c r="V10" s="4">
        <f>COUNTIF(E10:T10,"상")</f>
        <v/>
      </c>
      <c r="W10" s="5" t="inlineStr">
        <is>
          <t>P-1 국회의사당 위치 → P-2 북한 미사일(핵심 질문만) → 9/21 수정본에서 정치적 가짜뉴스로 계획서 완성 → P-3 활동지 대신 P-2 계획서 수정본 제출(주제 변경: 정치적 가짜뉴스)</t>
        </is>
      </c>
    </row>
    <row r="11" ht="36" customHeight="1">
      <c r="A11" s="4" t="n">
        <v>10106</v>
      </c>
      <c r="B11" s="4" t="inlineStr">
        <is>
          <t>김태영</t>
        </is>
      </c>
      <c r="C11" s="4" t="inlineStr">
        <is>
          <t>주제탐구</t>
        </is>
      </c>
      <c r="D11" s="5" t="inlineStr">
        <is>
          <t>동물복지의 필요성과 우리나라 동물복지 현황(군견 관심)</t>
        </is>
      </c>
      <c r="E11" s="4" t="inlineStr">
        <is>
          <t>○</t>
        </is>
      </c>
      <c r="F11" s="4" t="inlineStr">
        <is>
          <t>중</t>
        </is>
      </c>
      <c r="G11" s="4" t="inlineStr">
        <is>
          <t>×</t>
        </is>
      </c>
      <c r="H11" s="4" t="n"/>
      <c r="I11" s="4" t="inlineStr">
        <is>
          <t>×</t>
        </is>
      </c>
      <c r="J11" s="4" t="n"/>
      <c r="K11" s="4" t="n"/>
      <c r="L11" s="4" t="n"/>
      <c r="M11" s="4" t="n"/>
      <c r="N11" s="4" t="n"/>
      <c r="O11" s="4" t="n"/>
      <c r="P11" s="4" t="n"/>
      <c r="Q11" s="4" t="n"/>
      <c r="R11" s="4" t="n"/>
      <c r="S11" s="4" t="n"/>
      <c r="T11" s="4" t="n"/>
      <c r="U11" s="4">
        <f>COUNTIF(E11:T11,"○")</f>
        <v/>
      </c>
      <c r="V11" s="4">
        <f>COUNTIF(E11:T11,"상")</f>
        <v/>
      </c>
      <c r="W11" s="5" t="inlineStr">
        <is>
          <t>P-1 동물복지·군견 주제 → P-2 미제출 → P-3 미제출</t>
        </is>
      </c>
    </row>
    <row r="12" ht="36" customHeight="1">
      <c r="A12" s="4" t="n">
        <v>10107</v>
      </c>
      <c r="B12" s="4" t="inlineStr">
        <is>
          <t>나현수</t>
        </is>
      </c>
      <c r="C12" s="4" t="inlineStr">
        <is>
          <t>주제탐구</t>
        </is>
      </c>
      <c r="D12" s="5" t="inlineStr">
        <is>
          <t>칭찬은 아이들에게 항상 좋은 영향을 미칠까(박주빈과 공동)</t>
        </is>
      </c>
      <c r="E12" s="4" t="inlineStr">
        <is>
          <t>○</t>
        </is>
      </c>
      <c r="F12" s="4" t="inlineStr">
        <is>
          <t>상</t>
        </is>
      </c>
      <c r="G12" s="4" t="inlineStr">
        <is>
          <t>○</t>
        </is>
      </c>
      <c r="H12" s="4" t="inlineStr">
        <is>
          <t>상</t>
        </is>
      </c>
      <c r="I12" s="4" t="inlineStr">
        <is>
          <t>○</t>
        </is>
      </c>
      <c r="J12" s="4" t="inlineStr">
        <is>
          <t>하</t>
        </is>
      </c>
      <c r="K12" s="4" t="n"/>
      <c r="L12" s="4" t="n"/>
      <c r="M12" s="4" t="n"/>
      <c r="N12" s="4" t="n"/>
      <c r="O12" s="4" t="n"/>
      <c r="P12" s="4" t="n"/>
      <c r="Q12" s="4" t="n"/>
      <c r="R12" s="4" t="n"/>
      <c r="S12" s="4" t="n"/>
      <c r="T12" s="4" t="n"/>
      <c r="U12" s="4">
        <f>COUNTIF(E12:T12,"○")</f>
        <v/>
      </c>
      <c r="V12" s="4">
        <f>COUNTIF(E12:T12,"상")</f>
        <v/>
      </c>
      <c r="W12" s="5" t="inlineStr">
        <is>
          <t>P-1 칭찬과 교육(짝 박주빈) → P-2 공동 탐구 질문 완성 → P-3 칼럼 제목 1개만(요약 없음)</t>
        </is>
      </c>
    </row>
    <row r="13" ht="36" customHeight="1">
      <c r="A13" s="4" t="n">
        <v>10108</v>
      </c>
      <c r="B13" s="4" t="inlineStr">
        <is>
          <t>문시우</t>
        </is>
      </c>
      <c r="C13" s="4" t="inlineStr">
        <is>
          <t>주제탐구</t>
        </is>
      </c>
      <c r="D13" s="5" t="inlineStr">
        <is>
          <t>CCTV는 범죄 예방에 어떤 영향을 미치는가</t>
        </is>
      </c>
      <c r="E13" s="4" t="inlineStr">
        <is>
          <t>○</t>
        </is>
      </c>
      <c r="F13" s="4" t="inlineStr">
        <is>
          <t>상</t>
        </is>
      </c>
      <c r="G13" s="4" t="inlineStr">
        <is>
          <t>○</t>
        </is>
      </c>
      <c r="H13" s="4" t="inlineStr">
        <is>
          <t>상</t>
        </is>
      </c>
      <c r="I13" s="4" t="inlineStr">
        <is>
          <t>○</t>
        </is>
      </c>
      <c r="J13" s="4" t="inlineStr">
        <is>
          <t>상</t>
        </is>
      </c>
      <c r="K13" s="4" t="n"/>
      <c r="L13" s="4" t="n"/>
      <c r="M13" s="4" t="n"/>
      <c r="N13" s="4" t="n"/>
      <c r="O13" s="4" t="n"/>
      <c r="P13" s="4" t="n"/>
      <c r="Q13" s="4" t="n"/>
      <c r="R13" s="4" t="n"/>
      <c r="S13" s="4" t="n"/>
      <c r="T13" s="4" t="n"/>
      <c r="U13" s="4">
        <f>COUNTIF(E13:T13,"○")</f>
        <v/>
      </c>
      <c r="V13" s="4">
        <f>COUNTIF(E13:T13,"상")</f>
        <v/>
      </c>
      <c r="W13" s="5" t="inlineStr">
        <is>
          <t>P-1 사이버 범죄 → P-2 CCTV와 범죄 예방으로 변경 → P-3 통계·학술·뉴스 5개+메모, 상반된 결과 비교 가능</t>
        </is>
      </c>
    </row>
    <row r="14" ht="36" customHeight="1">
      <c r="A14" s="4" t="n">
        <v>10109</v>
      </c>
      <c r="B14" s="4" t="inlineStr">
        <is>
          <t>박소연</t>
        </is>
      </c>
      <c r="C14" s="4" t="inlineStr">
        <is>
          <t>주제탐구</t>
        </is>
      </c>
      <c r="D14" s="5" t="inlineStr">
        <is>
          <t>X선·CT·MRI의 진단 정확도와 활용도 비교</t>
        </is>
      </c>
      <c r="E14" s="4" t="inlineStr">
        <is>
          <t>○</t>
        </is>
      </c>
      <c r="F14" s="4" t="inlineStr">
        <is>
          <t>중</t>
        </is>
      </c>
      <c r="G14" s="4" t="inlineStr">
        <is>
          <t>○</t>
        </is>
      </c>
      <c r="H14" s="4" t="inlineStr">
        <is>
          <t>상</t>
        </is>
      </c>
      <c r="I14" s="4" t="inlineStr">
        <is>
          <t>○</t>
        </is>
      </c>
      <c r="J14" s="4" t="inlineStr">
        <is>
          <t>상</t>
        </is>
      </c>
      <c r="K14" s="4" t="n"/>
      <c r="L14" s="4" t="n"/>
      <c r="M14" s="4" t="n"/>
      <c r="N14" s="4" t="n"/>
      <c r="O14" s="4" t="n"/>
      <c r="P14" s="4" t="n"/>
      <c r="Q14" s="4" t="n"/>
      <c r="R14" s="4" t="n"/>
      <c r="S14" s="4" t="n"/>
      <c r="T14" s="4" t="n"/>
      <c r="U14" s="4">
        <f>COUNTIF(E14:T14,"○")</f>
        <v/>
      </c>
      <c r="V14" s="4">
        <f>COUNTIF(E14:T14,"상")</f>
        <v/>
      </c>
      <c r="W14" s="5" t="inlineStr">
        <is>
          <t>P-1 방사선사·방사선 안전 → P-2 X선·CT·MRI 비교 계획 매우 구체적 → P-3 병원·국가기관 자료 5개를 하위 질문별로 정리+메모</t>
        </is>
      </c>
    </row>
    <row r="15" ht="36" customHeight="1">
      <c r="A15" s="4" t="n">
        <v>10110</v>
      </c>
      <c r="B15" s="4" t="inlineStr">
        <is>
          <t>박수진</t>
        </is>
      </c>
      <c r="C15" s="4" t="inlineStr">
        <is>
          <t>주제탐구</t>
        </is>
      </c>
      <c r="D15" s="5" t="inlineStr">
        <is>
          <t>학습효과를 높이는 교육 방법(영어교육 중심)</t>
        </is>
      </c>
      <c r="E15" s="4" t="inlineStr">
        <is>
          <t>○</t>
        </is>
      </c>
      <c r="F15" s="4" t="inlineStr">
        <is>
          <t>중</t>
        </is>
      </c>
      <c r="G15" s="4" t="inlineStr">
        <is>
          <t>○</t>
        </is>
      </c>
      <c r="H15" s="4" t="inlineStr">
        <is>
          <t>상</t>
        </is>
      </c>
      <c r="I15" s="4" t="inlineStr">
        <is>
          <t>○</t>
        </is>
      </c>
      <c r="J15" s="4" t="inlineStr">
        <is>
          <t>상</t>
        </is>
      </c>
      <c r="K15" s="4" t="n"/>
      <c r="L15" s="4" t="n"/>
      <c r="M15" s="4" t="n"/>
      <c r="N15" s="4" t="n"/>
      <c r="O15" s="4" t="n"/>
      <c r="P15" s="4" t="n"/>
      <c r="Q15" s="4" t="n"/>
      <c r="R15" s="4" t="n"/>
      <c r="S15" s="4" t="n"/>
      <c r="T15" s="4" t="n"/>
      <c r="U15" s="4">
        <f>COUNTIF(E15:T15,"○")</f>
        <v/>
      </c>
      <c r="V15" s="4">
        <f>COUNTIF(E15:T15,"상")</f>
        <v/>
      </c>
      <c r="W15" s="5" t="inlineStr">
        <is>
          <t>P-1 교사 수업 방식 → P-2 영어교육 중심으로 구체화 → P-3 교육부·연구기관 자료 5개+메모(출처 제목 보완)</t>
        </is>
      </c>
    </row>
    <row r="16" ht="36" customHeight="1">
      <c r="A16" s="4" t="n">
        <v>10111</v>
      </c>
      <c r="B16" s="4" t="inlineStr">
        <is>
          <t>박주빈</t>
        </is>
      </c>
      <c r="C16" s="4" t="inlineStr">
        <is>
          <t>주제탐구</t>
        </is>
      </c>
      <c r="D16" s="5" t="inlineStr">
        <is>
          <t>칭찬은 아이들에게 항상 좋은 영향을 미칠까(나현수와 공동)</t>
        </is>
      </c>
      <c r="E16" s="4" t="inlineStr">
        <is>
          <t>○</t>
        </is>
      </c>
      <c r="F16" s="4" t="inlineStr">
        <is>
          <t>상</t>
        </is>
      </c>
      <c r="G16" s="4" t="inlineStr">
        <is>
          <t>○</t>
        </is>
      </c>
      <c r="H16" s="4" t="inlineStr">
        <is>
          <t>상</t>
        </is>
      </c>
      <c r="I16" s="4" t="inlineStr">
        <is>
          <t>○</t>
        </is>
      </c>
      <c r="J16" s="4" t="inlineStr">
        <is>
          <t>하</t>
        </is>
      </c>
      <c r="K16" s="4" t="n"/>
      <c r="L16" s="4" t="n"/>
      <c r="M16" s="4" t="n"/>
      <c r="N16" s="4" t="n"/>
      <c r="O16" s="4" t="n"/>
      <c r="P16" s="4" t="n"/>
      <c r="Q16" s="4" t="n"/>
      <c r="R16" s="4" t="n"/>
      <c r="S16" s="4" t="n"/>
      <c r="T16" s="4" t="n"/>
      <c r="U16" s="4">
        <f>COUNTIF(E16:T16,"○")</f>
        <v/>
      </c>
      <c r="V16" s="4">
        <f>COUNTIF(E16:T16,"상")</f>
        <v/>
      </c>
      <c r="W16" s="5" t="inlineStr">
        <is>
          <t>P-1 칭찬과 교육(짝 나현수) → P-2 공동 탐구 질문 완성 → P-3 논문 1개(요약 없음)+칼럼 1개</t>
        </is>
      </c>
    </row>
    <row r="17" ht="36" customHeight="1">
      <c r="A17" s="4" t="n">
        <v>10112</v>
      </c>
      <c r="B17" s="4" t="inlineStr">
        <is>
          <t>변선재</t>
        </is>
      </c>
      <c r="C17" s="4" t="inlineStr">
        <is>
          <t>주제탐구</t>
        </is>
      </c>
      <c r="D17" s="5" t="inlineStr">
        <is>
          <t>우리은하는 어떤 과정을 거쳐 지금의 모습이 되었을까</t>
        </is>
      </c>
      <c r="E17" s="4" t="inlineStr">
        <is>
          <t>○</t>
        </is>
      </c>
      <c r="F17" s="4" t="inlineStr">
        <is>
          <t>상</t>
        </is>
      </c>
      <c r="G17" s="4" t="inlineStr">
        <is>
          <t>○</t>
        </is>
      </c>
      <c r="H17" s="4" t="inlineStr">
        <is>
          <t>상</t>
        </is>
      </c>
      <c r="I17" s="4" t="inlineStr">
        <is>
          <t>○</t>
        </is>
      </c>
      <c r="J17" s="4" t="inlineStr">
        <is>
          <t>하</t>
        </is>
      </c>
      <c r="K17" s="4" t="n"/>
      <c r="L17" s="4" t="n"/>
      <c r="M17" s="4" t="n"/>
      <c r="N17" s="4" t="n"/>
      <c r="O17" s="4" t="n"/>
      <c r="P17" s="4" t="n"/>
      <c r="Q17" s="4" t="n"/>
      <c r="R17" s="4" t="n"/>
      <c r="S17" s="4" t="n"/>
      <c r="T17" s="4" t="n"/>
      <c r="U17" s="4">
        <f>COUNTIF(E17:T17,"○")</f>
        <v/>
      </c>
      <c r="V17" s="4">
        <f>COUNTIF(E17:T17,"상")</f>
        <v/>
      </c>
      <c r="W17" s="5" t="inlineStr">
        <is>
          <t>P-1 우리은하·차시별 산출물까지 계획 → P-2 탐구 질문 작성 → P-3 NASA 자료 1개(단어 나열)</t>
        </is>
      </c>
    </row>
    <row r="18" ht="36" customHeight="1">
      <c r="A18" s="4" t="n">
        <v>10114</v>
      </c>
      <c r="B18" s="4" t="inlineStr">
        <is>
          <t>성유현</t>
        </is>
      </c>
      <c r="C18" s="4" t="inlineStr">
        <is>
          <t>주제탐구</t>
        </is>
      </c>
      <c r="D18" s="5" t="inlineStr">
        <is>
          <t>음악을 만드는 사람들의 역할과 특징(잠정)</t>
        </is>
      </c>
      <c r="E18" s="4" t="inlineStr">
        <is>
          <t>○</t>
        </is>
      </c>
      <c r="F18" s="4" t="inlineStr">
        <is>
          <t>중</t>
        </is>
      </c>
      <c r="G18" s="4" t="inlineStr">
        <is>
          <t>×</t>
        </is>
      </c>
      <c r="H18" s="4" t="n"/>
      <c r="I18" s="4" t="inlineStr">
        <is>
          <t>×</t>
        </is>
      </c>
      <c r="J18" s="4" t="n"/>
      <c r="K18" s="4" t="n"/>
      <c r="L18" s="4" t="n"/>
      <c r="M18" s="4" t="n"/>
      <c r="N18" s="4" t="n"/>
      <c r="O18" s="4" t="n"/>
      <c r="P18" s="4" t="n"/>
      <c r="Q18" s="4" t="n"/>
      <c r="R18" s="4" t="n"/>
      <c r="S18" s="4" t="n"/>
      <c r="T18" s="4" t="n"/>
      <c r="U18" s="4">
        <f>COUNTIF(E18:T18,"○")</f>
        <v/>
      </c>
      <c r="V18" s="4">
        <f>COUNTIF(E18:T18,"상")</f>
        <v/>
      </c>
      <c r="W18" s="5" t="inlineStr">
        <is>
          <t>P-1 음악 창작 분야 → P-2 미제출 → P-3 미제출</t>
        </is>
      </c>
    </row>
    <row r="19" ht="36" customHeight="1">
      <c r="A19" s="4" t="n">
        <v>10115</v>
      </c>
      <c r="B19" s="4" t="inlineStr">
        <is>
          <t>양예진</t>
        </is>
      </c>
      <c r="C19" s="4" t="inlineStr">
        <is>
          <t>습관형성</t>
        </is>
      </c>
      <c r="D19" s="5" t="inlineStr">
        <is>
          <t>하루 러닝 10분</t>
        </is>
      </c>
      <c r="E19" s="4" t="inlineStr">
        <is>
          <t>○</t>
        </is>
      </c>
      <c r="F19" s="4" t="inlineStr">
        <is>
          <t>하</t>
        </is>
      </c>
      <c r="G19" s="4" t="inlineStr">
        <is>
          <t>○</t>
        </is>
      </c>
      <c r="H19" s="4" t="inlineStr">
        <is>
          <t>중</t>
        </is>
      </c>
      <c r="I19" s="4" t="inlineStr">
        <is>
          <t>○</t>
        </is>
      </c>
      <c r="J19" s="4" t="inlineStr">
        <is>
          <t>하</t>
        </is>
      </c>
      <c r="K19" s="4" t="n"/>
      <c r="L19" s="4" t="n"/>
      <c r="M19" s="4" t="n"/>
      <c r="N19" s="4" t="n"/>
      <c r="O19" s="4" t="n"/>
      <c r="P19" s="4" t="n"/>
      <c r="Q19" s="4" t="n"/>
      <c r="R19" s="4" t="n"/>
      <c r="S19" s="4" t="n"/>
      <c r="T19" s="4" t="n"/>
      <c r="U19" s="4">
        <f>COUNTIF(E19:T19,"○")</f>
        <v/>
      </c>
      <c r="V19" s="4">
        <f>COUNTIF(E19:T19,"상")</f>
        <v/>
      </c>
      <c r="W19" s="5" t="inlineStr">
        <is>
          <t>P-1 건강 습관(계획 미기재) → P-2 홈트·러닝·식습관 SMART → P-3 러닝 목표, 걷기 2일·뛰기 1일(실천 일수 불분명)</t>
        </is>
      </c>
    </row>
    <row r="20" ht="36" customHeight="1">
      <c r="A20" s="4" t="n">
        <v>10116</v>
      </c>
      <c r="B20" s="4" t="inlineStr">
        <is>
          <t>오주영</t>
        </is>
      </c>
      <c r="C20" s="4" t="inlineStr">
        <is>
          <t>습관형성</t>
        </is>
      </c>
      <c r="D20" s="5" t="inlineStr">
        <is>
          <t>매일 30분 공부(실제 1~2시간)</t>
        </is>
      </c>
      <c r="E20" s="4" t="inlineStr">
        <is>
          <t>○</t>
        </is>
      </c>
      <c r="F20" s="4" t="inlineStr">
        <is>
          <t>중</t>
        </is>
      </c>
      <c r="G20" s="4" t="inlineStr">
        <is>
          <t>○</t>
        </is>
      </c>
      <c r="H20" s="4" t="inlineStr">
        <is>
          <t>상</t>
        </is>
      </c>
      <c r="I20" s="4" t="inlineStr">
        <is>
          <t>○</t>
        </is>
      </c>
      <c r="J20" s="4" t="inlineStr">
        <is>
          <t>중</t>
        </is>
      </c>
      <c r="K20" s="4" t="n"/>
      <c r="L20" s="4" t="n"/>
      <c r="M20" s="4" t="n"/>
      <c r="N20" s="4" t="n"/>
      <c r="O20" s="4" t="n"/>
      <c r="P20" s="4" t="n"/>
      <c r="Q20" s="4" t="n"/>
      <c r="R20" s="4" t="n"/>
      <c r="S20" s="4" t="n"/>
      <c r="T20" s="4" t="n"/>
      <c r="U20" s="4">
        <f>COUNTIF(E20:T20,"○")</f>
        <v/>
      </c>
      <c r="V20" s="4">
        <f>COUNTIF(E20:T20,"상")</f>
        <v/>
      </c>
      <c r="W20" s="5" t="inlineStr">
        <is>
          <t>P-1 공부·운동 습관 → P-2 실패 원인 분석·개선안 → P-3 공부 4/7일(하루 1~2시간), 친구 인증</t>
        </is>
      </c>
    </row>
    <row r="21" ht="36" customHeight="1">
      <c r="A21" s="4" t="n">
        <v>10117</v>
      </c>
      <c r="B21" s="4" t="inlineStr">
        <is>
          <t>이가람</t>
        </is>
      </c>
      <c r="C21" s="4" t="inlineStr">
        <is>
          <t>습관형성</t>
        </is>
      </c>
      <c r="D21" s="5" t="inlineStr">
        <is>
          <t>책 하루 10쪽 이상 읽기</t>
        </is>
      </c>
      <c r="E21" s="4" t="inlineStr">
        <is>
          <t>○</t>
        </is>
      </c>
      <c r="F21" s="4" t="inlineStr">
        <is>
          <t>중</t>
        </is>
      </c>
      <c r="G21" s="4" t="inlineStr">
        <is>
          <t>○</t>
        </is>
      </c>
      <c r="H21" s="4" t="inlineStr">
        <is>
          <t>중</t>
        </is>
      </c>
      <c r="I21" s="4" t="inlineStr">
        <is>
          <t>○</t>
        </is>
      </c>
      <c r="J21" s="4" t="inlineStr">
        <is>
          <t>하</t>
        </is>
      </c>
      <c r="K21" s="4" t="n"/>
      <c r="L21" s="4" t="n"/>
      <c r="M21" s="4" t="n"/>
      <c r="N21" s="4" t="n"/>
      <c r="O21" s="4" t="n"/>
      <c r="P21" s="4" t="n"/>
      <c r="Q21" s="4" t="n"/>
      <c r="R21" s="4" t="n"/>
      <c r="S21" s="4" t="n"/>
      <c r="T21" s="4" t="n"/>
      <c r="U21" s="4">
        <f>COUNTIF(E21:T21,"○")</f>
        <v/>
      </c>
      <c r="V21" s="4">
        <f>COUNTIF(E21:T21,"상")</f>
        <v/>
      </c>
      <c r="W21" s="5" t="inlineStr">
        <is>
          <t>P-1 트랙 중복 체크 → P-2 독서 습관(6번 미기재) → P-3 독서 2/7일, 동료 응원 받음</t>
        </is>
      </c>
    </row>
    <row r="22" ht="36" customHeight="1">
      <c r="A22" s="4" t="n">
        <v>10119</v>
      </c>
      <c r="B22" s="4" t="inlineStr">
        <is>
          <t>이영민</t>
        </is>
      </c>
      <c r="C22" s="4" t="inlineStr">
        <is>
          <t>습관형성</t>
        </is>
      </c>
      <c r="D22" s="5" t="inlineStr">
        <is>
          <t>책 읽고 기억나는 문장 쓰기(150쪽까지)</t>
        </is>
      </c>
      <c r="E22" s="4" t="inlineStr">
        <is>
          <t>○</t>
        </is>
      </c>
      <c r="F22" s="4" t="inlineStr">
        <is>
          <t>하</t>
        </is>
      </c>
      <c r="G22" s="4" t="inlineStr">
        <is>
          <t>○</t>
        </is>
      </c>
      <c r="H22" s="4" t="inlineStr">
        <is>
          <t>중</t>
        </is>
      </c>
      <c r="I22" s="4" t="inlineStr">
        <is>
          <t>○</t>
        </is>
      </c>
      <c r="J22" s="4" t="inlineStr">
        <is>
          <t>중</t>
        </is>
      </c>
      <c r="K22" s="4" t="n"/>
      <c r="L22" s="4" t="n"/>
      <c r="M22" s="4" t="n"/>
      <c r="N22" s="4" t="n"/>
      <c r="O22" s="4" t="n"/>
      <c r="P22" s="4" t="n"/>
      <c r="Q22" s="4" t="n"/>
      <c r="R22" s="4" t="n"/>
      <c r="S22" s="4" t="n"/>
      <c r="T22" s="4" t="n"/>
      <c r="U22" s="4">
        <f>COUNTIF(E22:T22,"○")</f>
        <v/>
      </c>
      <c r="V22" s="4">
        <f>COUNTIF(E22:T22,"상")</f>
        <v/>
      </c>
      <c r="W22" s="5" t="inlineStr">
        <is>
          <t>P-1 진로독서('진로 미정') → P-2 습관형성(독서) — 트랙 변경 → P-3 독서 3/7일, 수~토 기록 지움</t>
        </is>
      </c>
    </row>
    <row r="23" ht="36" customHeight="1">
      <c r="A23" s="4" t="n">
        <v>10120</v>
      </c>
      <c r="B23" s="4" t="inlineStr">
        <is>
          <t>임성미</t>
        </is>
      </c>
      <c r="C23" s="4" t="inlineStr">
        <is>
          <t>습관형성</t>
        </is>
      </c>
      <c r="D23" s="5" t="inlineStr">
        <is>
          <t>집중해서 매일 수학 문제 5개 이상</t>
        </is>
      </c>
      <c r="E23" s="4" t="inlineStr">
        <is>
          <t>○</t>
        </is>
      </c>
      <c r="F23" s="4" t="inlineStr">
        <is>
          <t>상</t>
        </is>
      </c>
      <c r="G23" s="4" t="inlineStr">
        <is>
          <t>○</t>
        </is>
      </c>
      <c r="H23" s="4" t="inlineStr">
        <is>
          <t>상</t>
        </is>
      </c>
      <c r="I23" s="4" t="inlineStr">
        <is>
          <t>○</t>
        </is>
      </c>
      <c r="J23" s="4" t="inlineStr">
        <is>
          <t>중</t>
        </is>
      </c>
      <c r="K23" s="4" t="n"/>
      <c r="L23" s="4" t="n"/>
      <c r="M23" s="4" t="n"/>
      <c r="N23" s="4" t="n"/>
      <c r="O23" s="4" t="n"/>
      <c r="P23" s="4" t="n"/>
      <c r="Q23" s="4" t="n"/>
      <c r="R23" s="4" t="n"/>
      <c r="S23" s="4" t="n"/>
      <c r="T23" s="4" t="n"/>
      <c r="U23" s="4">
        <f>COUNTIF(E23:T23,"○")</f>
        <v/>
      </c>
      <c r="V23" s="4">
        <f>COUNTIF(E23:T23,"상")</f>
        <v/>
      </c>
      <c r="W23" s="5" t="inlineStr">
        <is>
          <t>P-1 독창적 8차시 계획 → P-2 수학 60점·매일 5문제 → P-3 수학 4/7일, 기록 질 높음(추석 3일 공백)</t>
        </is>
      </c>
    </row>
    <row r="24" ht="36" customHeight="1">
      <c r="A24" s="4" t="n">
        <v>10121</v>
      </c>
      <c r="B24" s="4" t="inlineStr">
        <is>
          <t>조준호</t>
        </is>
      </c>
      <c r="C24" s="4" t="inlineStr">
        <is>
          <t>습관형성</t>
        </is>
      </c>
      <c r="D24" s="5" t="inlineStr">
        <is>
          <t>공부 꾸준히 하기(복습)</t>
        </is>
      </c>
      <c r="E24" s="4" t="inlineStr">
        <is>
          <t>○</t>
        </is>
      </c>
      <c r="F24" s="4" t="inlineStr">
        <is>
          <t>하</t>
        </is>
      </c>
      <c r="G24" s="4" t="inlineStr">
        <is>
          <t>○</t>
        </is>
      </c>
      <c r="H24" s="4" t="inlineStr">
        <is>
          <t>중</t>
        </is>
      </c>
      <c r="I24" s="4" t="inlineStr">
        <is>
          <t>○</t>
        </is>
      </c>
      <c r="J24" s="4" t="inlineStr">
        <is>
          <t>상</t>
        </is>
      </c>
      <c r="K24" s="4" t="n"/>
      <c r="L24" s="4" t="n"/>
      <c r="M24" s="4" t="n"/>
      <c r="N24" s="4" t="n"/>
      <c r="O24" s="4" t="n"/>
      <c r="P24" s="4" t="n"/>
      <c r="Q24" s="4" t="n"/>
      <c r="R24" s="4" t="n"/>
      <c r="S24" s="4" t="n"/>
      <c r="T24" s="4" t="n"/>
      <c r="U24" s="4">
        <f>COUNTIF(E24:T24,"○")</f>
        <v/>
      </c>
      <c r="V24" s="4">
        <f>COUNTIF(E24:T24,"상")</f>
        <v/>
      </c>
      <c r="W24" s="5" t="inlineStr">
        <is>
          <t>P-1 물리치료사 진로(작성란 미기재) → P-2 복습 습관 → P-3 공부 5/7일, 목표가 막연함</t>
        </is>
      </c>
    </row>
    <row r="25" ht="36" customHeight="1">
      <c r="A25" s="4" t="n">
        <v>10122</v>
      </c>
      <c r="B25" s="4" t="inlineStr">
        <is>
          <t>채흔희</t>
        </is>
      </c>
      <c r="C25" s="4" t="inlineStr">
        <is>
          <t>습관형성</t>
        </is>
      </c>
      <c r="D25" s="5" t="inlineStr">
        <is>
          <t>화~금 6시까지 학원 가기</t>
        </is>
      </c>
      <c r="E25" s="4" t="inlineStr">
        <is>
          <t>○</t>
        </is>
      </c>
      <c r="F25" s="4" t="inlineStr">
        <is>
          <t>하</t>
        </is>
      </c>
      <c r="G25" s="4" t="inlineStr">
        <is>
          <t>○</t>
        </is>
      </c>
      <c r="H25" s="4" t="inlineStr">
        <is>
          <t>중</t>
        </is>
      </c>
      <c r="I25" s="4" t="inlineStr">
        <is>
          <t>○</t>
        </is>
      </c>
      <c r="J25" s="4" t="inlineStr">
        <is>
          <t>하</t>
        </is>
      </c>
      <c r="K25" s="4" t="n"/>
      <c r="L25" s="4" t="n"/>
      <c r="M25" s="4" t="n"/>
      <c r="N25" s="4" t="n"/>
      <c r="O25" s="4" t="n"/>
      <c r="P25" s="4" t="n"/>
      <c r="Q25" s="4" t="n"/>
      <c r="R25" s="4" t="n"/>
      <c r="S25" s="4" t="n"/>
      <c r="T25" s="4" t="n"/>
      <c r="U25" s="4">
        <f>COUNTIF(E25:T25,"○")</f>
        <v/>
      </c>
      <c r="V25" s="4">
        <f>COUNTIF(E25:T25,"상")</f>
        <v/>
      </c>
      <c r="W25" s="5" t="inlineStr">
        <is>
          <t>P-1 약속시간 지키기 → P-2 제시간에 학원 가기 → P-3 학원 가는 날 2일 모두 지킴(인증 안 함)</t>
        </is>
      </c>
    </row>
    <row r="26" ht="36" customHeight="1">
      <c r="A26" s="4" t="n">
        <v>10123</v>
      </c>
      <c r="B26" s="4" t="inlineStr">
        <is>
          <t>최유나</t>
        </is>
      </c>
      <c r="C26" s="4" t="inlineStr">
        <is>
          <t>습관형성</t>
        </is>
      </c>
      <c r="D26" s="5" t="inlineStr">
        <is>
          <t>영어 단어 하루 10개, 주 50개</t>
        </is>
      </c>
      <c r="E26" s="4" t="inlineStr">
        <is>
          <t>○</t>
        </is>
      </c>
      <c r="F26" s="4" t="inlineStr">
        <is>
          <t>중</t>
        </is>
      </c>
      <c r="G26" s="4" t="inlineStr">
        <is>
          <t>○</t>
        </is>
      </c>
      <c r="H26" s="4" t="inlineStr">
        <is>
          <t>상</t>
        </is>
      </c>
      <c r="I26" s="4" t="inlineStr">
        <is>
          <t>○</t>
        </is>
      </c>
      <c r="J26" s="4" t="inlineStr">
        <is>
          <t>상</t>
        </is>
      </c>
      <c r="K26" s="4" t="n"/>
      <c r="L26" s="4" t="n"/>
      <c r="M26" s="4" t="n"/>
      <c r="N26" s="4" t="n"/>
      <c r="O26" s="4" t="n"/>
      <c r="P26" s="4" t="n"/>
      <c r="Q26" s="4" t="n"/>
      <c r="R26" s="4" t="n"/>
      <c r="S26" s="4" t="n"/>
      <c r="T26" s="4" t="n"/>
      <c r="U26" s="4">
        <f>COUNTIF(E26:T26,"○")</f>
        <v/>
      </c>
      <c r="V26" s="4">
        <f>COUNTIF(E26:T26,"상")</f>
        <v/>
      </c>
      <c r="W26" s="5" t="inlineStr">
        <is>
          <t>P-1 집중하기(RM처럼) → P-2 휴대폰 없이 영어 단어 10개 → P-3 단어 5/7일, 주간 목표 50개 달성</t>
        </is>
      </c>
    </row>
    <row r="27" ht="36" customHeight="1">
      <c r="A27" s="4" t="n">
        <v>10124</v>
      </c>
      <c r="B27" s="4" t="inlineStr">
        <is>
          <t>한지훈</t>
        </is>
      </c>
      <c r="C27" s="4" t="inlineStr">
        <is>
          <t>습관형성</t>
        </is>
      </c>
      <c r="D27" s="5" t="inlineStr">
        <is>
          <t>평일 인강 1강·주말 2강·자기주도 3시간</t>
        </is>
      </c>
      <c r="E27" s="4" t="inlineStr">
        <is>
          <t>○</t>
        </is>
      </c>
      <c r="F27" s="4" t="inlineStr">
        <is>
          <t>중</t>
        </is>
      </c>
      <c r="G27" s="4" t="inlineStr">
        <is>
          <t>○</t>
        </is>
      </c>
      <c r="H27" s="4" t="inlineStr">
        <is>
          <t>중</t>
        </is>
      </c>
      <c r="I27" s="4" t="inlineStr">
        <is>
          <t>○</t>
        </is>
      </c>
      <c r="J27" s="4" t="inlineStr">
        <is>
          <t>하</t>
        </is>
      </c>
      <c r="K27" s="4" t="n"/>
      <c r="L27" s="4" t="n"/>
      <c r="M27" s="4" t="n"/>
      <c r="N27" s="4" t="n"/>
      <c r="O27" s="4" t="n"/>
      <c r="P27" s="4" t="n"/>
      <c r="Q27" s="4" t="n"/>
      <c r="R27" s="4" t="n"/>
      <c r="S27" s="4" t="n"/>
      <c r="T27" s="4" t="n"/>
      <c r="U27" s="4">
        <f>COUNTIF(E27:T27,"○")</f>
        <v/>
      </c>
      <c r="V27" s="4">
        <f>COUNTIF(E27:T27,"상")</f>
        <v/>
      </c>
      <c r="W27" s="5" t="inlineStr">
        <is>
          <t>P-1 AI 연구원 관심·세 트랙 모두 작성 → P-2 스터디카페·EBS(장애물 미기재) → P-3 기록 2일(순공 시간 구체적), 소감 없음</t>
        </is>
      </c>
    </row>
    <row r="29">
      <c r="A29" s="17" t="inlineStr">
        <is>
          <t>제출 인원(○)</t>
        </is>
      </c>
      <c r="B29" s="17" t="n"/>
      <c r="C29" s="17" t="n"/>
      <c r="D29" s="17" t="n"/>
      <c r="E29" s="17">
        <f>IF(COUNTA(E6:E27)=0,"",COUNTIF(E6:E27,"○"))</f>
        <v/>
      </c>
      <c r="F29" s="17" t="n"/>
      <c r="G29" s="17">
        <f>IF(COUNTA(G6:G27)=0,"",COUNTIF(G6:G27,"○"))</f>
        <v/>
      </c>
      <c r="H29" s="17" t="n"/>
      <c r="I29" s="17">
        <f>IF(COUNTA(I6:I27)=0,"",COUNTIF(I6:I27,"○"))</f>
        <v/>
      </c>
      <c r="J29" s="17" t="n"/>
      <c r="K29" s="17">
        <f>IF(COUNTA(K6:K27)=0,"",COUNTIF(K6:K27,"○"))</f>
        <v/>
      </c>
      <c r="L29" s="17" t="n"/>
      <c r="M29" s="17">
        <f>IF(COUNTA(M6:M27)=0,"",COUNTIF(M6:M27,"○"))</f>
        <v/>
      </c>
      <c r="N29" s="17" t="n"/>
      <c r="O29" s="17">
        <f>IF(COUNTA(O6:O27)=0,"",COUNTIF(O6:O27,"○"))</f>
        <v/>
      </c>
      <c r="P29" s="17" t="n"/>
      <c r="Q29" s="17">
        <f>IF(COUNTA(Q6:Q27)=0,"",COUNTIF(Q6:Q27,"○"))</f>
        <v/>
      </c>
      <c r="R29" s="17" t="n"/>
      <c r="S29" s="17">
        <f>IF(COUNTA(S6:S27)=0,"",COUNTIF(S6:S27,"○"))</f>
        <v/>
      </c>
      <c r="T29" s="17" t="n"/>
      <c r="U29" s="17" t="n"/>
      <c r="V29" s="17" t="n"/>
      <c r="W29" s="17" t="n"/>
    </row>
    <row r="30">
      <c r="A30" s="17" t="inlineStr">
        <is>
          <t>미제출(×)</t>
        </is>
      </c>
      <c r="B30" s="17" t="n"/>
      <c r="C30" s="17" t="n"/>
      <c r="D30" s="17" t="n"/>
      <c r="E30" s="17">
        <f>IF(COUNTA(E6:E27)=0,"",COUNTIF(E6:E27,"×"))</f>
        <v/>
      </c>
      <c r="F30" s="17" t="n"/>
      <c r="G30" s="17">
        <f>IF(COUNTA(G6:G27)=0,"",COUNTIF(G6:G27,"×"))</f>
        <v/>
      </c>
      <c r="H30" s="17" t="n"/>
      <c r="I30" s="17">
        <f>IF(COUNTA(I6:I27)=0,"",COUNTIF(I6:I27,"×"))</f>
        <v/>
      </c>
      <c r="J30" s="17" t="n"/>
      <c r="K30" s="17">
        <f>IF(COUNTA(K6:K27)=0,"",COUNTIF(K6:K27,"×"))</f>
        <v/>
      </c>
      <c r="L30" s="17" t="n"/>
      <c r="M30" s="17">
        <f>IF(COUNTA(M6:M27)=0,"",COUNTIF(M6:M27,"×"))</f>
        <v/>
      </c>
      <c r="N30" s="17" t="n"/>
      <c r="O30" s="17">
        <f>IF(COUNTA(O6:O27)=0,"",COUNTIF(O6:O27,"×"))</f>
        <v/>
      </c>
      <c r="P30" s="17" t="n"/>
      <c r="Q30" s="17">
        <f>IF(COUNTA(Q6:Q27)=0,"",COUNTIF(Q6:Q27,"×"))</f>
        <v/>
      </c>
      <c r="R30" s="17" t="n"/>
      <c r="S30" s="17">
        <f>IF(COUNTA(S6:S27)=0,"",COUNTIF(S6:S27,"×"))</f>
        <v/>
      </c>
      <c r="T30" s="17" t="n"/>
      <c r="U30" s="17" t="n"/>
      <c r="V30" s="17" t="n"/>
      <c r="W30" s="17" t="n"/>
    </row>
    <row r="31">
      <c r="A31" s="17" t="inlineStr">
        <is>
          <t>상</t>
        </is>
      </c>
      <c r="B31" s="17" t="n"/>
      <c r="C31" s="17" t="n"/>
      <c r="D31" s="17" t="n"/>
      <c r="E31" s="17" t="n"/>
      <c r="F31" s="17">
        <f>IF(COUNTA(F6:F27)=0,"",COUNTIF(F6:F27,"상"))</f>
        <v/>
      </c>
      <c r="G31" s="17" t="n"/>
      <c r="H31" s="17">
        <f>IF(COUNTA(H6:H27)=0,"",COUNTIF(H6:H27,"상"))</f>
        <v/>
      </c>
      <c r="I31" s="17" t="n"/>
      <c r="J31" s="17">
        <f>IF(COUNTA(J6:J27)=0,"",COUNTIF(J6:J27,"상"))</f>
        <v/>
      </c>
      <c r="K31" s="17" t="n"/>
      <c r="L31" s="17">
        <f>IF(COUNTA(L6:L27)=0,"",COUNTIF(L6:L27,"상"))</f>
        <v/>
      </c>
      <c r="M31" s="17" t="n"/>
      <c r="N31" s="17">
        <f>IF(COUNTA(N6:N27)=0,"",COUNTIF(N6:N27,"상"))</f>
        <v/>
      </c>
      <c r="O31" s="17" t="n"/>
      <c r="P31" s="17">
        <f>IF(COUNTA(P6:P27)=0,"",COUNTIF(P6:P27,"상"))</f>
        <v/>
      </c>
      <c r="Q31" s="17" t="n"/>
      <c r="R31" s="17">
        <f>IF(COUNTA(R6:R27)=0,"",COUNTIF(R6:R27,"상"))</f>
        <v/>
      </c>
      <c r="S31" s="17" t="n"/>
      <c r="T31" s="17">
        <f>IF(COUNTA(T6:T27)=0,"",COUNTIF(T6:T27,"상"))</f>
        <v/>
      </c>
      <c r="U31" s="17" t="n"/>
      <c r="V31" s="17" t="n"/>
      <c r="W31" s="17" t="n"/>
    </row>
    <row r="32">
      <c r="A32" s="17" t="inlineStr">
        <is>
          <t>중</t>
        </is>
      </c>
      <c r="B32" s="17" t="n"/>
      <c r="C32" s="17" t="n"/>
      <c r="D32" s="17" t="n"/>
      <c r="E32" s="17" t="n"/>
      <c r="F32" s="17">
        <f>IF(COUNTA(F6:F27)=0,"",COUNTIF(F6:F27,"중"))</f>
        <v/>
      </c>
      <c r="G32" s="17" t="n"/>
      <c r="H32" s="17">
        <f>IF(COUNTA(H6:H27)=0,"",COUNTIF(H6:H27,"중"))</f>
        <v/>
      </c>
      <c r="I32" s="17" t="n"/>
      <c r="J32" s="17">
        <f>IF(COUNTA(J6:J27)=0,"",COUNTIF(J6:J27,"중"))</f>
        <v/>
      </c>
      <c r="K32" s="17" t="n"/>
      <c r="L32" s="17">
        <f>IF(COUNTA(L6:L27)=0,"",COUNTIF(L6:L27,"중"))</f>
        <v/>
      </c>
      <c r="M32" s="17" t="n"/>
      <c r="N32" s="17">
        <f>IF(COUNTA(N6:N27)=0,"",COUNTIF(N6:N27,"중"))</f>
        <v/>
      </c>
      <c r="O32" s="17" t="n"/>
      <c r="P32" s="17">
        <f>IF(COUNTA(P6:P27)=0,"",COUNTIF(P6:P27,"중"))</f>
        <v/>
      </c>
      <c r="Q32" s="17" t="n"/>
      <c r="R32" s="17">
        <f>IF(COUNTA(R6:R27)=0,"",COUNTIF(R6:R27,"중"))</f>
        <v/>
      </c>
      <c r="S32" s="17" t="n"/>
      <c r="T32" s="17">
        <f>IF(COUNTA(T6:T27)=0,"",COUNTIF(T6:T27,"중"))</f>
        <v/>
      </c>
      <c r="U32" s="17" t="n"/>
      <c r="V32" s="17" t="n"/>
      <c r="W32" s="17" t="n"/>
    </row>
    <row r="33">
      <c r="A33" s="17" t="inlineStr">
        <is>
          <t>하</t>
        </is>
      </c>
      <c r="B33" s="17" t="n"/>
      <c r="C33" s="17" t="n"/>
      <c r="D33" s="17" t="n"/>
      <c r="E33" s="17" t="n"/>
      <c r="F33" s="17">
        <f>IF(COUNTA(F6:F27)=0,"",COUNTIF(F6:F27,"하"))</f>
        <v/>
      </c>
      <c r="G33" s="17" t="n"/>
      <c r="H33" s="17">
        <f>IF(COUNTA(H6:H27)=0,"",COUNTIF(H6:H27,"하"))</f>
        <v/>
      </c>
      <c r="I33" s="17" t="n"/>
      <c r="J33" s="17">
        <f>IF(COUNTA(J6:J27)=0,"",COUNTIF(J6:J27,"하"))</f>
        <v/>
      </c>
      <c r="K33" s="17" t="n"/>
      <c r="L33" s="17">
        <f>IF(COUNTA(L6:L27)=0,"",COUNTIF(L6:L27,"하"))</f>
        <v/>
      </c>
      <c r="M33" s="17" t="n"/>
      <c r="N33" s="17">
        <f>IF(COUNTA(N6:N27)=0,"",COUNTIF(N6:N27,"하"))</f>
        <v/>
      </c>
      <c r="O33" s="17" t="n"/>
      <c r="P33" s="17">
        <f>IF(COUNTA(P6:P27)=0,"",COUNTIF(P6:P27,"하"))</f>
        <v/>
      </c>
      <c r="Q33" s="17" t="n"/>
      <c r="R33" s="17">
        <f>IF(COUNTA(R6:R27)=0,"",COUNTIF(R6:R27,"하"))</f>
        <v/>
      </c>
      <c r="S33" s="17" t="n"/>
      <c r="T33" s="17">
        <f>IF(COUNTA(T6:T27)=0,"",COUNTIF(T6:T27,"하"))</f>
        <v/>
      </c>
      <c r="U33" s="17" t="n"/>
      <c r="V33" s="17" t="n"/>
      <c r="W33" s="17" t="n"/>
    </row>
  </sheetData>
  <mergeCells count="22">
    <mergeCell ref="C4:C5"/>
    <mergeCell ref="V4:V5"/>
    <mergeCell ref="A29:D29"/>
    <mergeCell ref="E4:F4"/>
    <mergeCell ref="A1:W1"/>
    <mergeCell ref="A31:D31"/>
    <mergeCell ref="A32:D32"/>
    <mergeCell ref="D4:D5"/>
    <mergeCell ref="A30:D30"/>
    <mergeCell ref="O4:P4"/>
    <mergeCell ref="Q4:R4"/>
    <mergeCell ref="A4:A5"/>
    <mergeCell ref="U4:U5"/>
    <mergeCell ref="A2:W2"/>
    <mergeCell ref="G4:H4"/>
    <mergeCell ref="I4:J4"/>
    <mergeCell ref="B4:B5"/>
    <mergeCell ref="W4:W5"/>
    <mergeCell ref="A33:D33"/>
    <mergeCell ref="K4:L4"/>
    <mergeCell ref="M4:N4"/>
    <mergeCell ref="S4:T4"/>
  </mergeCells>
  <conditionalFormatting sqref="E6:T27">
    <cfRule type="cellIs" priority="1" operator="equal" dxfId="0">
      <formula>"상"</formula>
    </cfRule>
    <cfRule type="cellIs" priority="2" operator="equal" dxfId="1">
      <formula>"중"</formula>
    </cfRule>
    <cfRule type="cellIs" priority="3" operator="equal" dxfId="2">
      <formula>"하"</formula>
    </cfRule>
    <cfRule type="cellIs" priority="4" operator="equal" dxfId="3">
      <formula>"×"</formula>
    </cfRule>
  </conditionalFormatting>
  <dataValidations count="2">
    <dataValidation sqref="E6:E27 G6:G27 I6:I27 K6:K27 M6:M27 O6:O27 Q6:Q27 S6:S27" showDropDown="0" showInputMessage="0" showErrorMessage="0" allowBlank="1" type="list">
      <formula1>"○,×"</formula1>
    </dataValidation>
    <dataValidation sqref="F6:F27 H6:H27 J6:J27 L6:L27 N6:N27 P6:P27 R6:R27 T6:T27" showDropDown="0" showInputMessage="0" showErrorMessage="0" allowBlank="1" type="list">
      <formula1>"상,중,하"</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40" customWidth="1" min="2" max="2"/>
    <col width="40" customWidth="1" min="3" max="3"/>
  </cols>
  <sheetData>
    <row r="1">
      <c r="A1" s="3" t="inlineStr">
        <is>
          <t>차시</t>
        </is>
      </c>
      <c r="B1" s="3" t="inlineStr">
        <is>
          <t>활동명</t>
        </is>
      </c>
      <c r="C1" s="3" t="inlineStr">
        <is>
          <t>단원명(비고)</t>
        </is>
      </c>
    </row>
    <row r="2">
      <c r="A2" s="5" t="inlineStr">
        <is>
          <t>1-1</t>
        </is>
      </c>
      <c r="B2" s="5" t="inlineStr">
        <is>
          <t>진로수업 OT</t>
        </is>
      </c>
      <c r="C2" s="5" t="inlineStr">
        <is>
          <t>활동지, 동영상 / 자기 이해 검사</t>
        </is>
      </c>
    </row>
    <row r="3">
      <c r="A3" s="5" t="inlineStr">
        <is>
          <t>1-2</t>
        </is>
      </c>
      <c r="B3" s="5" t="inlineStr">
        <is>
          <t>나의 3년을 담는 기록장_학교생활기록부</t>
        </is>
      </c>
      <c r="C3" s="5" t="inlineStr">
        <is>
          <t>-</t>
        </is>
      </c>
    </row>
    <row r="4">
      <c r="A4" s="5" t="inlineStr">
        <is>
          <t>1-3</t>
        </is>
      </c>
      <c r="B4" s="5" t="inlineStr">
        <is>
          <t>고등학교 내신 산출의 이해</t>
        </is>
      </c>
      <c r="C4" s="5" t="inlineStr">
        <is>
          <t>교과서, 활동지, 동영상</t>
        </is>
      </c>
    </row>
    <row r="5">
      <c r="A5" s="5" t="inlineStr">
        <is>
          <t>1-4</t>
        </is>
      </c>
      <c r="B5" s="5" t="inlineStr">
        <is>
          <t>자기 이해 검사 종합하기</t>
        </is>
      </c>
      <c r="C5" s="5" t="inlineStr">
        <is>
          <t>활동지, 동영상 / 자기 이해 검사</t>
        </is>
      </c>
    </row>
    <row r="6">
      <c r="A6" s="5" t="inlineStr">
        <is>
          <t>1-5</t>
        </is>
      </c>
      <c r="B6" s="5" t="inlineStr">
        <is>
          <t>최고 관심 직업 선정하기</t>
        </is>
      </c>
      <c r="C6" s="5" t="inlineStr">
        <is>
          <t>활동지, 동영상</t>
        </is>
      </c>
    </row>
    <row r="7">
      <c r="A7" s="5" t="inlineStr">
        <is>
          <t>1-6</t>
        </is>
      </c>
      <c r="B7" s="5" t="inlineStr">
        <is>
          <t>미래 직업 세계와 AI: 내 직업은 어떻게 변할까?</t>
        </is>
      </c>
      <c r="C7" s="5" t="inlineStr">
        <is>
          <t>활동지, 동영상</t>
        </is>
      </c>
    </row>
    <row r="8">
      <c r="A8" s="5" t="inlineStr">
        <is>
          <t>1-7</t>
        </is>
      </c>
      <c r="B8" s="5" t="inlineStr">
        <is>
          <t>희망 학과(전공) 탐색하기</t>
        </is>
      </c>
      <c r="C8" s="5" t="inlineStr">
        <is>
          <t>활동지, 동영상</t>
        </is>
      </c>
    </row>
    <row r="9">
      <c r="A9" s="5" t="inlineStr">
        <is>
          <t>1-8</t>
        </is>
      </c>
      <c r="B9" s="5" t="inlineStr">
        <is>
          <t>대입 전형 유형별 분석을 통한 나의 대학 진학 설계</t>
        </is>
      </c>
      <c r="C9" s="5" t="inlineStr">
        <is>
          <t>교과서 p.90, 활동지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2026-09-22T06:24:56Z</dcterms:created>
  <dcterms:modified xsi:type="dcterms:W3CDTF">2026-09-28T09:24:37Z</dcterms:modified>
</cp:coreProperties>
</file>